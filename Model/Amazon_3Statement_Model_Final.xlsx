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kirub\Downloads\"/>
    </mc:Choice>
  </mc:AlternateContent>
  <xr:revisionPtr revIDLastSave="0" documentId="13_ncr:1_{1DF0785F-7BCD-4E2E-BF0A-B1FD542E56D9}" xr6:coauthVersionLast="47" xr6:coauthVersionMax="47" xr10:uidLastSave="{00000000-0000-0000-0000-000000000000}"/>
  <bookViews>
    <workbookView xWindow="-98" yWindow="-98" windowWidth="21795" windowHeight="12975" tabRatio="500" activeTab="5" xr2:uid="{00000000-000D-0000-FFFF-FFFF00000000}"/>
  </bookViews>
  <sheets>
    <sheet name="RD" sheetId="1" r:id="rId1"/>
    <sheet name="CD" sheetId="2" r:id="rId2"/>
    <sheet name="Assumptions" sheetId="3" r:id="rId3"/>
    <sheet name="IS" sheetId="4" r:id="rId4"/>
    <sheet name="BS" sheetId="5" r:id="rId5"/>
    <sheet name="CF" sheetId="6" r:id="rId6"/>
    <sheet name="Model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7" l="1"/>
  <c r="H26" i="7"/>
  <c r="H25" i="7"/>
  <c r="I24" i="7"/>
  <c r="H24" i="7"/>
  <c r="I22" i="7"/>
  <c r="H22" i="7"/>
  <c r="I18" i="7"/>
  <c r="H18" i="7"/>
  <c r="H6" i="7"/>
  <c r="H5" i="7"/>
  <c r="H19" i="6"/>
  <c r="H14" i="6"/>
  <c r="H16" i="6" s="1"/>
  <c r="H10" i="6"/>
  <c r="H8" i="5" s="1"/>
  <c r="H6" i="6"/>
  <c r="H19" i="5"/>
  <c r="I19" i="5" s="1"/>
  <c r="I25" i="7" s="1"/>
  <c r="H18" i="5"/>
  <c r="I18" i="5" s="1"/>
  <c r="H15" i="5"/>
  <c r="I15" i="5" s="1"/>
  <c r="H14" i="5"/>
  <c r="I14" i="5" s="1"/>
  <c r="H12" i="5"/>
  <c r="H16" i="5" s="1"/>
  <c r="H21" i="4"/>
  <c r="I21" i="4" s="1"/>
  <c r="H19" i="4"/>
  <c r="H11" i="4"/>
  <c r="H4" i="4"/>
  <c r="H8" i="4" s="1"/>
  <c r="I6" i="6" l="1"/>
  <c r="I19" i="4" s="1"/>
  <c r="I14" i="6"/>
  <c r="I16" i="6" s="1"/>
  <c r="I11" i="4"/>
  <c r="H12" i="6"/>
  <c r="I4" i="4"/>
  <c r="H6" i="5"/>
  <c r="H5" i="4"/>
  <c r="H6" i="4" s="1"/>
  <c r="H7" i="5"/>
  <c r="H9" i="4" l="1"/>
  <c r="H7" i="4"/>
  <c r="H8" i="7"/>
  <c r="H7" i="7"/>
  <c r="H7" i="6"/>
  <c r="I10" i="6"/>
  <c r="I8" i="4"/>
  <c r="I7" i="5"/>
  <c r="I6" i="7"/>
  <c r="I5" i="7"/>
  <c r="I6" i="5"/>
  <c r="I7" i="6" s="1"/>
  <c r="I5" i="4"/>
  <c r="I6" i="4" s="1"/>
  <c r="I12" i="5"/>
  <c r="I16" i="5" s="1"/>
  <c r="I9" i="4" l="1"/>
  <c r="I7" i="4"/>
  <c r="I8" i="7"/>
  <c r="I7" i="7"/>
  <c r="I12" i="6"/>
  <c r="I8" i="5"/>
  <c r="H17" i="4"/>
  <c r="H10" i="7"/>
  <c r="H12" i="4"/>
  <c r="H10" i="4"/>
  <c r="H9" i="7"/>
  <c r="I10" i="4" l="1"/>
  <c r="I17" i="4"/>
  <c r="I10" i="7"/>
  <c r="I12" i="4"/>
  <c r="I9" i="7"/>
  <c r="H13" i="4"/>
  <c r="H14" i="4" s="1"/>
  <c r="H12" i="7"/>
  <c r="H11" i="7"/>
  <c r="H18" i="4"/>
  <c r="H17" i="5" l="1"/>
  <c r="H15" i="4"/>
  <c r="H5" i="6"/>
  <c r="H8" i="6" s="1"/>
  <c r="H22" i="4"/>
  <c r="H15" i="7" s="1"/>
  <c r="H14" i="7"/>
  <c r="H13" i="7"/>
  <c r="I11" i="7"/>
  <c r="I12" i="7"/>
  <c r="I18" i="4"/>
  <c r="I13" i="4"/>
  <c r="I14" i="4" s="1"/>
  <c r="I15" i="4" l="1"/>
  <c r="I5" i="6"/>
  <c r="I8" i="6" s="1"/>
  <c r="I22" i="4"/>
  <c r="I15" i="7" s="1"/>
  <c r="I14" i="7"/>
  <c r="I13" i="7"/>
  <c r="H22" i="6"/>
  <c r="H23" i="6" s="1"/>
  <c r="H17" i="7"/>
  <c r="H18" i="6"/>
  <c r="I17" i="5"/>
  <c r="I20" i="5" s="1"/>
  <c r="H20" i="5"/>
  <c r="I21" i="5" l="1"/>
  <c r="H20" i="6"/>
  <c r="H5" i="5"/>
  <c r="H9" i="5"/>
  <c r="H21" i="5"/>
  <c r="I22" i="6"/>
  <c r="I23" i="6" s="1"/>
  <c r="I17" i="7"/>
  <c r="I18" i="6"/>
  <c r="H10" i="5" l="1"/>
  <c r="I19" i="6"/>
  <c r="I20" i="6" s="1"/>
  <c r="I5" i="5"/>
  <c r="H20" i="7"/>
  <c r="H19" i="7"/>
  <c r="H23" i="7" l="1"/>
  <c r="H23" i="5"/>
  <c r="I20" i="7"/>
  <c r="I19" i="7"/>
  <c r="I9" i="5"/>
  <c r="I10" i="5" s="1"/>
  <c r="I23" i="7" l="1"/>
  <c r="I23" i="5"/>
</calcChain>
</file>

<file path=xl/sharedStrings.xml><?xml version="1.0" encoding="utf-8"?>
<sst xmlns="http://schemas.openxmlformats.org/spreadsheetml/2006/main" count="266" uniqueCount="164">
  <si>
    <t>Source: Amazon 10-K / Annual Reports (2021–2025)  |  SEC EDGAR</t>
  </si>
  <si>
    <t>P&amp;L</t>
  </si>
  <si>
    <t>Item</t>
  </si>
  <si>
    <t>2021</t>
  </si>
  <si>
    <t>2022</t>
  </si>
  <si>
    <t>2023</t>
  </si>
  <si>
    <t>2024</t>
  </si>
  <si>
    <t>2025</t>
  </si>
  <si>
    <t xml:space="preserve">  Revenue ($mm)</t>
  </si>
  <si>
    <t xml:space="preserve">  Cost of Revenue</t>
  </si>
  <si>
    <t xml:space="preserve">  Gross Profit</t>
  </si>
  <si>
    <t xml:space="preserve">  Gross Margin %</t>
  </si>
  <si>
    <t xml:space="preserve">  R&amp;D Expenses</t>
  </si>
  <si>
    <t xml:space="preserve">  SG&amp;A Expenses</t>
  </si>
  <si>
    <t xml:space="preserve">  Other OpEx</t>
  </si>
  <si>
    <t xml:space="preserve">  Total Operating Expenses</t>
  </si>
  <si>
    <t xml:space="preserve">  Operating Income (EBIT)</t>
  </si>
  <si>
    <t xml:space="preserve">  EBIT Margin %</t>
  </si>
  <si>
    <t xml:space="preserve">  Interest Expense</t>
  </si>
  <si>
    <t xml:space="preserve">  Interest Income</t>
  </si>
  <si>
    <t xml:space="preserve">  EBT</t>
  </si>
  <si>
    <t xml:space="preserve">  Income Tax Expense</t>
  </si>
  <si>
    <t xml:space="preserve">  Net Income</t>
  </si>
  <si>
    <t xml:space="preserve">  Net Margin %</t>
  </si>
  <si>
    <t xml:space="preserve">  EBITDA</t>
  </si>
  <si>
    <t xml:space="preserve">  EBITDA Margin %</t>
  </si>
  <si>
    <t xml:space="preserve">  Diluted EPS ($)</t>
  </si>
  <si>
    <t xml:space="preserve">  Diluted Shares (mm)</t>
  </si>
  <si>
    <t>Balance Sheet</t>
  </si>
  <si>
    <t xml:space="preserve">  Cash &amp; Equivalents</t>
  </si>
  <si>
    <t xml:space="preserve">  Short-Term Investments</t>
  </si>
  <si>
    <t xml:space="preserve">  Accounts Receivable</t>
  </si>
  <si>
    <t xml:space="preserve">  Inventory</t>
  </si>
  <si>
    <t xml:space="preserve">  Total Current Assets</t>
  </si>
  <si>
    <t xml:space="preserve">  Net PP&amp;E</t>
  </si>
  <si>
    <t xml:space="preserve">  Intangible Assets</t>
  </si>
  <si>
    <t xml:space="preserve">  Goodwill</t>
  </si>
  <si>
    <t xml:space="preserve">  Other Long-Term Assets</t>
  </si>
  <si>
    <t xml:space="preserve">  Total Assets</t>
  </si>
  <si>
    <t xml:space="preserve">  Accounts Payable</t>
  </si>
  <si>
    <t xml:space="preserve">  Short-Term Borrowings</t>
  </si>
  <si>
    <t xml:space="preserve">  Current LT Debt</t>
  </si>
  <si>
    <t xml:space="preserve">  Total Current Liabilities</t>
  </si>
  <si>
    <t xml:space="preserve">  Long-Term Debt</t>
  </si>
  <si>
    <t xml:space="preserve">  Long-Term Leases</t>
  </si>
  <si>
    <t xml:space="preserve">  Total Liabilities</t>
  </si>
  <si>
    <t xml:space="preserve">  Retained Earnings</t>
  </si>
  <si>
    <t xml:space="preserve">  Total Equity</t>
  </si>
  <si>
    <t xml:space="preserve">  Total Liabilities &amp; Equity</t>
  </si>
  <si>
    <t>Cash Flow</t>
  </si>
  <si>
    <t xml:space="preserve">  Cash from Operations</t>
  </si>
  <si>
    <t xml:space="preserve">  D&amp;A</t>
  </si>
  <si>
    <t xml:space="preserve">  Change in Working Capital</t>
  </si>
  <si>
    <t xml:space="preserve">  Cash from Investing</t>
  </si>
  <si>
    <t xml:space="preserve">  Capital Expenditures</t>
  </si>
  <si>
    <t xml:space="preserve">  Other Investing</t>
  </si>
  <si>
    <t xml:space="preserve">  Cash from Financing</t>
  </si>
  <si>
    <t xml:space="preserve">  Total Debt Issued</t>
  </si>
  <si>
    <t xml:space="preserve">  Total Debt Repaid</t>
  </si>
  <si>
    <t xml:space="preserve">  Net Change in Cash</t>
  </si>
  <si>
    <t xml:space="preserve">  Levered Free Cash Flow</t>
  </si>
  <si>
    <t>AMAZON.COM, INC. — CLEAN DATA SUMMARY  |  2021–2025  |  $ in Millions</t>
  </si>
  <si>
    <t>Normalized from Raw Data | Cross-referenced with SEC filings</t>
  </si>
  <si>
    <t>INCOME STATEMENT</t>
  </si>
  <si>
    <t>Line Item</t>
  </si>
  <si>
    <t xml:space="preserve">  Interest Expense (net)</t>
  </si>
  <si>
    <t xml:space="preserve">  Income Tax</t>
  </si>
  <si>
    <t>BALANCE SHEET</t>
  </si>
  <si>
    <t>CASH FLOW</t>
  </si>
  <si>
    <t xml:space="preserve">  CapEx</t>
  </si>
  <si>
    <t xml:space="preserve">  Free Cash Flow (Op-CapEx)</t>
  </si>
  <si>
    <t>AMAZON — MODEL ASSUMPTIONS  |  Forecast: 2026F–2027F</t>
  </si>
  <si>
    <t>INCOME STATEMENT DRIVERS</t>
  </si>
  <si>
    <t>Revenue Growth % (2026F)</t>
  </si>
  <si>
    <t>Revenue Growth % (2027F)</t>
  </si>
  <si>
    <t>Cost of Revenue % of Rev</t>
  </si>
  <si>
    <t>Operating Expense % of Rev</t>
  </si>
  <si>
    <t>Tax Rate %</t>
  </si>
  <si>
    <t>BALANCE SHEET DRIVERS</t>
  </si>
  <si>
    <t>AR Days (Days Sales Out.)</t>
  </si>
  <si>
    <t>Inventory % of Revenue</t>
  </si>
  <si>
    <t>AP Days (Days Payable Out.)</t>
  </si>
  <si>
    <t>CapEx % of Revenue</t>
  </si>
  <si>
    <t>D&amp;A % of Net PP&amp;E</t>
  </si>
  <si>
    <t>DEBT &amp; FINANCING</t>
  </si>
  <si>
    <t>Interest Rate on LT Debt</t>
  </si>
  <si>
    <t>LT Debt Growth %</t>
  </si>
  <si>
    <t>AMAZON.COM, INC. — INCOME STATEMENT  |  $ in Millions</t>
  </si>
  <si>
    <t>Historical: 2021–2025 (Actual)   |   Forecast: 2026F–2027F (Model-Driven)</t>
  </si>
  <si>
    <t>$ in Millions</t>
  </si>
  <si>
    <t>Revenue ($mm)</t>
  </si>
  <si>
    <t>Gross Profit</t>
  </si>
  <si>
    <t xml:space="preserve">  Operating Expenses</t>
  </si>
  <si>
    <t>Operating Income (EBIT)</t>
  </si>
  <si>
    <t xml:space="preserve">  EBT (Earnings Before Tax)</t>
  </si>
  <si>
    <t>Net Income</t>
  </si>
  <si>
    <t>EBITDA</t>
  </si>
  <si>
    <t xml:space="preserve">  D&amp;A (from CF)</t>
  </si>
  <si>
    <t>Diluted Shares (mm)</t>
  </si>
  <si>
    <t>Diluted EPS ($)</t>
  </si>
  <si>
    <t>AMAZON.COM, INC. — BALANCE SHEET  |  $ in Millions</t>
  </si>
  <si>
    <t>ASSETS</t>
  </si>
  <si>
    <t>Cash &amp; Equivalents</t>
  </si>
  <si>
    <t xml:space="preserve">  Other Assets (net)</t>
  </si>
  <si>
    <t>Total Assets</t>
  </si>
  <si>
    <t>LIABILITIES &amp; EQUITY</t>
  </si>
  <si>
    <t>300</t>
  </si>
  <si>
    <t xml:space="preserve">  Other Liabilities</t>
  </si>
  <si>
    <t>Total Liabilities</t>
  </si>
  <si>
    <t xml:space="preserve">  Common Stock &amp; APIC</t>
  </si>
  <si>
    <t xml:space="preserve">  Other Equity</t>
  </si>
  <si>
    <t>Total Equity</t>
  </si>
  <si>
    <t>Total Liabilities &amp; Equity</t>
  </si>
  <si>
    <t>BS CHECK (Assets = L+E):</t>
  </si>
  <si>
    <t>AMAZON.COM, INC. — CASH FLOW STATEMENT  |  $ in Millions</t>
  </si>
  <si>
    <t>OPERATING ACTIVITIES</t>
  </si>
  <si>
    <t xml:space="preserve">  Depreciation &amp; Amortization</t>
  </si>
  <si>
    <t>Cash from Operations</t>
  </si>
  <si>
    <t>INVESTING ACTIVITIES</t>
  </si>
  <si>
    <t xml:space="preserve">  Capital Expenditures (CapEx)</t>
  </si>
  <si>
    <t xml:space="preserve">  Other Investing Activities</t>
  </si>
  <si>
    <t>Cash from Investing</t>
  </si>
  <si>
    <t>FINANCING ACTIVITIES</t>
  </si>
  <si>
    <t xml:space="preserve">  Net Debt Issued / (Repaid)</t>
  </si>
  <si>
    <t xml:space="preserve">  Other Financing</t>
  </si>
  <si>
    <t>Cash from Financing</t>
  </si>
  <si>
    <t>NET CHANGE IN CASH</t>
  </si>
  <si>
    <t xml:space="preserve">  Beginning Cash Balance</t>
  </si>
  <si>
    <t>Ending Cash Balance</t>
  </si>
  <si>
    <t>Free Cash Flow (CFO + CapEx)</t>
  </si>
  <si>
    <t xml:space="preserve">  FCF Margin %</t>
  </si>
  <si>
    <t>AMAZON.COM, INC. — 3-STATEMENT MODEL  |  SUMMARY DASHBOARD</t>
  </si>
  <si>
    <t>Key Metrics ($mm)</t>
  </si>
  <si>
    <t>2026F</t>
  </si>
  <si>
    <t>2027F</t>
  </si>
  <si>
    <t>── INCOME STATEMENT ──</t>
  </si>
  <si>
    <t>Revenue</t>
  </si>
  <si>
    <t>Revenue Growth %</t>
  </si>
  <si>
    <t>Gross Margin %</t>
  </si>
  <si>
    <t>EBIT</t>
  </si>
  <si>
    <t>EBIT Margin %</t>
  </si>
  <si>
    <t>EBITDA Margin %</t>
  </si>
  <si>
    <t>Net Margin %</t>
  </si>
  <si>
    <t>── CASH FLOW ──</t>
  </si>
  <si>
    <t>Capital Expenditures</t>
  </si>
  <si>
    <t>Free Cash Flow</t>
  </si>
  <si>
    <t>FCF Margin %</t>
  </si>
  <si>
    <t>── BALANCE SHEET ──</t>
  </si>
  <si>
    <t>Long-Term Debt</t>
  </si>
  <si>
    <t>Net Debt</t>
  </si>
  <si>
    <t>Built by: Kiruba Manimaran   |   Data: Amazon 10-K 2021–2025   |   Forecast Period: 2026F–2027F   |   All figures in USD Millions</t>
  </si>
  <si>
    <t>AMAZON.COM, INC.  RAW FINANCIAL DATA  |  2021–2025  |  $ in Millions</t>
  </si>
  <si>
    <t>Avg of last 3yr CAGR; Amazon guided high-single-digit growth</t>
  </si>
  <si>
    <t xml:space="preserve"> Slight acceleration from AWS + Advertising</t>
  </si>
  <si>
    <t xml:space="preserve">  5yr avg declining trend; 2025 actual = 49.7%</t>
  </si>
  <si>
    <t xml:space="preserve">  5yr avg; includes R&amp;D + SG&amp;A</t>
  </si>
  <si>
    <t xml:space="preserve">  US federal statutory rate; Amazon effective ~21-24%</t>
  </si>
  <si>
    <t xml:space="preserve"> AR/Revenue*365; Amazon ~28 days historically</t>
  </si>
  <si>
    <t xml:space="preserve">  Inventory/Revenue; ~5.4% (2025 actual)</t>
  </si>
  <si>
    <t xml:space="preserve"> AP/Revenue*365; Amazon ~62 days historically</t>
  </si>
  <si>
    <t xml:space="preserve">  Stepped up in 2025 to 18.4%; moderating to 17%</t>
  </si>
  <si>
    <t xml:space="preserve"> D&amp;A/Net PP&amp;E; Amazon 2025 ~14.8%</t>
  </si>
  <si>
    <t xml:space="preserve">  Blended coupon on Amazon's outstanding debt ~3.3%</t>
  </si>
  <si>
    <t xml:space="preserve">  Modest debt growth; Amazon has strong FCF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</si>
</sst>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\$#,##0.00"/>
  </numFmts>
  <fonts count="26" x14ac:knownFonts="1">
    <font>
      <sz val="11"/>
      <color theme="1"/>
      <name val="Calibri"/>
      <family val="2"/>
      <charset val="1"/>
    </font>
    <font>
      <b/>
      <sz val="13"/>
      <color rgb="FFFFFFFF"/>
      <name val="Calibri"/>
      <family val="2"/>
    </font>
    <font>
      <i/>
      <sz val="8"/>
      <color rgb="FF888888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9"/>
      <color rgb="FF0070C0"/>
      <name val="Calibri"/>
      <family val="2"/>
    </font>
    <font>
      <b/>
      <sz val="9"/>
      <color rgb="FF000000"/>
      <name val="Calibri"/>
      <family val="2"/>
    </font>
    <font>
      <b/>
      <sz val="10"/>
      <color rgb="FFFFFFFF"/>
      <name val="Calibri"/>
      <family val="2"/>
    </font>
    <font>
      <sz val="9"/>
      <color rgb="FF006400"/>
      <name val="Calibri"/>
      <family val="2"/>
    </font>
    <font>
      <b/>
      <sz val="9"/>
      <color rgb="FF006400"/>
      <name val="Calibri"/>
      <family val="2"/>
    </font>
    <font>
      <i/>
      <sz val="9"/>
      <color rgb="FF444444"/>
      <name val="Calibri"/>
      <family val="2"/>
    </font>
    <font>
      <b/>
      <sz val="10"/>
      <color rgb="FF0070C0"/>
      <name val="Calibri"/>
      <family val="2"/>
    </font>
    <font>
      <i/>
      <sz val="8"/>
      <color rgb="FF555555"/>
      <name val="Calibri"/>
      <family val="2"/>
    </font>
    <font>
      <i/>
      <sz val="8"/>
      <color rgb="FF666666"/>
      <name val="Calibri"/>
      <family val="2"/>
    </font>
    <font>
      <b/>
      <sz val="9"/>
      <color rgb="FF1A1A2E"/>
      <name val="Calibri"/>
      <family val="2"/>
    </font>
    <font>
      <b/>
      <sz val="9"/>
      <color rgb="FF0070C0"/>
      <name val="Calibri"/>
      <family val="2"/>
    </font>
    <font>
      <sz val="9"/>
      <color rgb="FF777777"/>
      <name val="Calibri"/>
      <family val="2"/>
    </font>
    <font>
      <b/>
      <sz val="14"/>
      <color rgb="FFFFFFFF"/>
      <name val="Calibri"/>
      <family val="2"/>
    </font>
    <font>
      <i/>
      <sz val="8"/>
      <color rgb="FF0070C0"/>
      <name val="Calibri"/>
      <family val="2"/>
    </font>
    <font>
      <i/>
      <sz val="8"/>
      <color rgb="FF1A1A2E"/>
      <name val="Calibri"/>
      <family val="2"/>
    </font>
    <font>
      <i/>
      <sz val="8"/>
      <color rgb="FF006400"/>
      <name val="Calibri"/>
      <family val="2"/>
    </font>
    <font>
      <b/>
      <sz val="10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1B2A3B"/>
        <bgColor rgb="FF1A1A2E"/>
      </patternFill>
    </fill>
    <fill>
      <patternFill patternType="solid">
        <fgColor rgb="FF2E4057"/>
        <bgColor rgb="FF444444"/>
      </patternFill>
    </fill>
    <fill>
      <patternFill patternType="solid">
        <fgColor rgb="FFD6E8F5"/>
        <bgColor rgb="FFD0E8F5"/>
      </patternFill>
    </fill>
    <fill>
      <patternFill patternType="solid">
        <fgColor rgb="FFF8F9FA"/>
        <bgColor rgb="FFF0F4F8"/>
      </patternFill>
    </fill>
    <fill>
      <patternFill patternType="solid">
        <fgColor rgb="FF3D5A73"/>
        <bgColor rgb="FF555555"/>
      </patternFill>
    </fill>
    <fill>
      <patternFill patternType="solid">
        <fgColor rgb="FFF0F4F8"/>
        <bgColor rgb="FFF8F9FA"/>
      </patternFill>
    </fill>
    <fill>
      <patternFill patternType="solid">
        <fgColor rgb="FFD0E8F5"/>
        <bgColor rgb="FFD6E8F5"/>
      </patternFill>
    </fill>
    <fill>
      <patternFill patternType="solid">
        <fgColor rgb="FFC8ECD8"/>
        <bgColor rgb="FFD6F0E0"/>
      </patternFill>
    </fill>
    <fill>
      <patternFill patternType="solid">
        <fgColor rgb="FFD6F0E0"/>
        <bgColor rgb="FFC8ECD8"/>
      </patternFill>
    </fill>
    <fill>
      <patternFill patternType="solid">
        <fgColor rgb="FF1F9B15"/>
        <bgColor rgb="FFC8ECD8"/>
      </patternFill>
    </fill>
    <fill>
      <patternFill patternType="solid">
        <fgColor theme="7" tint="-0.499984740745262"/>
        <bgColor rgb="FF1A1A2E"/>
      </patternFill>
    </fill>
    <fill>
      <patternFill patternType="solid">
        <fgColor theme="8" tint="-0.499984740745262"/>
        <bgColor rgb="FF1A1A2E"/>
      </patternFill>
    </fill>
    <fill>
      <patternFill patternType="solid">
        <fgColor theme="8" tint="0.79998168889431442"/>
        <bgColor rgb="FFF8F9FA"/>
      </patternFill>
    </fill>
  </fills>
  <borders count="4">
    <border>
      <left/>
      <right/>
      <top/>
      <bottom/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double">
        <color auto="1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4" fillId="7" borderId="0" xfId="0" applyFont="1" applyFill="1" applyAlignment="1">
      <alignment horizontal="left" vertical="center" indent="1"/>
    </xf>
    <xf numFmtId="0" fontId="18" fillId="2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4" fillId="4" borderId="0" xfId="0" applyFont="1" applyFill="1"/>
    <xf numFmtId="164" fontId="6" fillId="5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left" vertical="center"/>
    </xf>
    <xf numFmtId="166" fontId="6" fillId="5" borderId="0" xfId="0" applyNumberFormat="1" applyFont="1" applyFill="1" applyAlignment="1">
      <alignment horizontal="right" vertical="center"/>
    </xf>
    <xf numFmtId="0" fontId="11" fillId="0" borderId="0" xfId="0" applyFont="1"/>
    <xf numFmtId="0" fontId="14" fillId="0" borderId="0" xfId="0" applyFont="1"/>
    <xf numFmtId="0" fontId="4" fillId="4" borderId="0" xfId="0" applyFont="1" applyFill="1" applyAlignment="1">
      <alignment horizontal="left" vertical="center" indent="1"/>
    </xf>
    <xf numFmtId="0" fontId="8" fillId="7" borderId="0" xfId="0" applyFont="1" applyFill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164" fontId="7" fillId="10" borderId="1" xfId="0" applyNumberFormat="1" applyFont="1" applyFill="1" applyBorder="1" applyAlignment="1">
      <alignment horizontal="right" vertical="center"/>
    </xf>
    <xf numFmtId="164" fontId="5" fillId="11" borderId="0" xfId="0" applyNumberFormat="1" applyFont="1" applyFill="1" applyAlignment="1">
      <alignment horizontal="right" vertical="center"/>
    </xf>
    <xf numFmtId="0" fontId="17" fillId="6" borderId="0" xfId="0" applyFont="1" applyFill="1" applyAlignment="1">
      <alignment horizontal="left" vertical="center" indent="1"/>
    </xf>
    <xf numFmtId="165" fontId="6" fillId="5" borderId="0" xfId="0" applyNumberFormat="1" applyFont="1" applyFill="1" applyAlignment="1">
      <alignment horizontal="right" vertical="center"/>
    </xf>
    <xf numFmtId="165" fontId="5" fillId="11" borderId="0" xfId="0" applyNumberFormat="1" applyFont="1" applyFill="1" applyAlignment="1">
      <alignment horizontal="right" vertical="center"/>
    </xf>
    <xf numFmtId="0" fontId="5" fillId="8" borderId="0" xfId="0" applyFont="1" applyFill="1" applyAlignment="1">
      <alignment horizontal="left" vertical="center"/>
    </xf>
    <xf numFmtId="164" fontId="6" fillId="9" borderId="0" xfId="0" applyNumberFormat="1" applyFont="1" applyFill="1" applyAlignment="1">
      <alignment horizontal="right" vertical="center"/>
    </xf>
    <xf numFmtId="164" fontId="5" fillId="10" borderId="0" xfId="0" applyNumberFormat="1" applyFont="1" applyFill="1" applyAlignment="1">
      <alignment horizontal="right" vertical="center"/>
    </xf>
    <xf numFmtId="0" fontId="15" fillId="6" borderId="1" xfId="0" applyFont="1" applyFill="1" applyBorder="1" applyAlignment="1">
      <alignment horizontal="left" vertical="center"/>
    </xf>
    <xf numFmtId="164" fontId="16" fillId="5" borderId="1" xfId="0" applyNumberFormat="1" applyFont="1" applyFill="1" applyBorder="1" applyAlignment="1">
      <alignment horizontal="right" vertical="center"/>
    </xf>
    <xf numFmtId="164" fontId="7" fillId="11" borderId="1" xfId="0" applyNumberFormat="1" applyFont="1" applyFill="1" applyBorder="1" applyAlignment="1">
      <alignment horizontal="right" vertical="center"/>
    </xf>
    <xf numFmtId="0" fontId="17" fillId="8" borderId="0" xfId="0" applyFont="1" applyFill="1" applyAlignment="1">
      <alignment horizontal="left" vertical="center" indent="1"/>
    </xf>
    <xf numFmtId="165" fontId="6" fillId="9" borderId="0" xfId="0" applyNumberFormat="1" applyFont="1" applyFill="1" applyAlignment="1">
      <alignment horizontal="right" vertical="center"/>
    </xf>
    <xf numFmtId="165" fontId="5" fillId="10" borderId="0" xfId="0" applyNumberFormat="1" applyFont="1" applyFill="1" applyAlignment="1">
      <alignment horizontal="right" vertical="center"/>
    </xf>
    <xf numFmtId="164" fontId="7" fillId="10" borderId="2" xfId="0" applyNumberFormat="1" applyFont="1" applyFill="1" applyBorder="1" applyAlignment="1">
      <alignment horizontal="right" vertical="center"/>
    </xf>
    <xf numFmtId="0" fontId="15" fillId="6" borderId="0" xfId="0" applyFont="1" applyFill="1" applyAlignment="1">
      <alignment horizontal="left" vertical="center"/>
    </xf>
    <xf numFmtId="164" fontId="16" fillId="5" borderId="0" xfId="0" applyNumberFormat="1" applyFont="1" applyFill="1" applyAlignment="1">
      <alignment horizontal="right" vertical="center"/>
    </xf>
    <xf numFmtId="164" fontId="7" fillId="11" borderId="0" xfId="0" applyNumberFormat="1" applyFont="1" applyFill="1" applyAlignment="1">
      <alignment horizontal="right" vertical="center"/>
    </xf>
    <xf numFmtId="0" fontId="9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3" fontId="6" fillId="5" borderId="0" xfId="0" applyNumberFormat="1" applyFont="1" applyFill="1" applyAlignment="1">
      <alignment horizontal="right" vertical="center"/>
    </xf>
    <xf numFmtId="3" fontId="5" fillId="11" borderId="0" xfId="0" applyNumberFormat="1" applyFont="1" applyFill="1" applyAlignment="1">
      <alignment horizontal="right" vertical="center"/>
    </xf>
    <xf numFmtId="0" fontId="15" fillId="8" borderId="0" xfId="0" applyFont="1" applyFill="1" applyAlignment="1">
      <alignment horizontal="left" vertical="center"/>
    </xf>
    <xf numFmtId="166" fontId="16" fillId="9" borderId="0" xfId="0" applyNumberFormat="1" applyFont="1" applyFill="1" applyAlignment="1">
      <alignment horizontal="right" vertical="center"/>
    </xf>
    <xf numFmtId="166" fontId="7" fillId="10" borderId="0" xfId="0" applyNumberFormat="1" applyFont="1" applyFill="1" applyAlignment="1">
      <alignment horizontal="right" vertical="center"/>
    </xf>
    <xf numFmtId="164" fontId="6" fillId="11" borderId="0" xfId="0" applyNumberFormat="1" applyFont="1" applyFill="1" applyAlignment="1">
      <alignment horizontal="right" vertical="center"/>
    </xf>
    <xf numFmtId="164" fontId="9" fillId="11" borderId="0" xfId="0" applyNumberFormat="1" applyFont="1" applyFill="1" applyAlignment="1">
      <alignment horizontal="right" vertical="center"/>
    </xf>
    <xf numFmtId="164" fontId="6" fillId="10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center"/>
    </xf>
    <xf numFmtId="164" fontId="9" fillId="10" borderId="0" xfId="0" applyNumberFormat="1" applyFont="1" applyFill="1" applyAlignment="1">
      <alignment horizontal="right" vertical="center"/>
    </xf>
    <xf numFmtId="0" fontId="8" fillId="4" borderId="0" xfId="0" applyFont="1" applyFill="1"/>
    <xf numFmtId="166" fontId="5" fillId="11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8" fillId="7" borderId="0" xfId="0" applyNumberFormat="1" applyFont="1" applyFill="1" applyAlignment="1">
      <alignment horizontal="center" vertical="center"/>
    </xf>
    <xf numFmtId="1" fontId="8" fillId="7" borderId="0" xfId="0" applyNumberFormat="1" applyFont="1" applyFill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4" fillId="0" borderId="0" xfId="0" applyFont="1" applyFill="1"/>
    <xf numFmtId="0" fontId="4" fillId="0" borderId="0" xfId="0" applyNumberFormat="1" applyFont="1" applyFill="1" applyAlignment="1">
      <alignment horizontal="center"/>
    </xf>
    <xf numFmtId="0" fontId="5" fillId="0" borderId="0" xfId="0" applyFont="1" applyFill="1"/>
    <xf numFmtId="164" fontId="9" fillId="0" borderId="0" xfId="0" applyNumberFormat="1" applyFont="1" applyFill="1" applyAlignment="1">
      <alignment horizontal="right"/>
    </xf>
    <xf numFmtId="0" fontId="7" fillId="0" borderId="0" xfId="0" applyFont="1" applyFill="1"/>
    <xf numFmtId="164" fontId="10" fillId="0" borderId="0" xfId="0" applyNumberFormat="1" applyFont="1" applyFill="1" applyAlignment="1">
      <alignment horizontal="right"/>
    </xf>
    <xf numFmtId="0" fontId="23" fillId="0" borderId="0" xfId="0" applyFont="1" applyFill="1"/>
    <xf numFmtId="0" fontId="24" fillId="0" borderId="0" xfId="0" applyFont="1" applyFill="1"/>
    <xf numFmtId="164" fontId="24" fillId="0" borderId="0" xfId="0" applyNumberFormat="1" applyFont="1" applyFill="1" applyAlignment="1">
      <alignment horizontal="right"/>
    </xf>
    <xf numFmtId="164" fontId="23" fillId="0" borderId="0" xfId="0" applyNumberFormat="1" applyFont="1" applyFill="1" applyAlignment="1">
      <alignment horizontal="right"/>
    </xf>
    <xf numFmtId="0" fontId="25" fillId="0" borderId="0" xfId="0" applyFont="1" applyFill="1"/>
    <xf numFmtId="0" fontId="25" fillId="0" borderId="0" xfId="0" applyNumberFormat="1" applyFont="1" applyFill="1" applyAlignment="1">
      <alignment horizontal="center"/>
    </xf>
    <xf numFmtId="165" fontId="9" fillId="0" borderId="0" xfId="0" applyNumberFormat="1" applyFont="1" applyFill="1" applyAlignment="1">
      <alignment horizontal="right"/>
    </xf>
    <xf numFmtId="0" fontId="8" fillId="13" borderId="0" xfId="0" applyFont="1" applyFill="1" applyAlignment="1">
      <alignment horizontal="left" vertical="center" indent="1"/>
    </xf>
    <xf numFmtId="0" fontId="3" fillId="13" borderId="0" xfId="0" applyFont="1" applyFill="1" applyAlignment="1">
      <alignment horizontal="left" vertical="center"/>
    </xf>
    <xf numFmtId="0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64" fontId="6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165" fontId="6" fillId="0" borderId="0" xfId="0" applyNumberFormat="1" applyFont="1" applyFill="1" applyAlignment="1">
      <alignment horizontal="right" vertical="center"/>
    </xf>
    <xf numFmtId="166" fontId="6" fillId="0" borderId="0" xfId="0" applyNumberFormat="1" applyFont="1" applyFill="1" applyAlignment="1">
      <alignment horizontal="right" vertical="center"/>
    </xf>
    <xf numFmtId="0" fontId="8" fillId="13" borderId="0" xfId="0" applyFont="1" applyFill="1" applyAlignment="1">
      <alignment vertical="center"/>
    </xf>
    <xf numFmtId="0" fontId="8" fillId="14" borderId="0" xfId="0" applyFont="1" applyFill="1" applyAlignment="1">
      <alignment horizontal="left" vertical="center" indent="1"/>
    </xf>
    <xf numFmtId="0" fontId="5" fillId="15" borderId="0" xfId="0" applyFont="1" applyFill="1" applyAlignment="1">
      <alignment horizontal="left" vertical="center" indent="1"/>
    </xf>
    <xf numFmtId="165" fontId="12" fillId="15" borderId="0" xfId="0" applyNumberFormat="1" applyFont="1" applyFill="1" applyAlignment="1">
      <alignment horizontal="center" vertical="center"/>
    </xf>
    <xf numFmtId="0" fontId="13" fillId="15" borderId="0" xfId="0" applyFont="1" applyFill="1" applyAlignment="1">
      <alignment horizontal="left" vertical="center"/>
    </xf>
    <xf numFmtId="3" fontId="12" fillId="15" borderId="0" xfId="0" applyNumberFormat="1" applyFont="1" applyFill="1" applyAlignment="1">
      <alignment horizontal="center" vertical="center"/>
    </xf>
    <xf numFmtId="0" fontId="1" fillId="14" borderId="0" xfId="0" applyFont="1" applyFill="1" applyAlignment="1">
      <alignment horizontal="left" vertical="center" indent="1"/>
    </xf>
    <xf numFmtId="0" fontId="6" fillId="11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640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640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640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640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640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6400"/>
        <name val="Calibri"/>
        <family val="2"/>
        <scheme val="none"/>
      </font>
      <numFmt numFmtId="164" formatCode="#,##0;\(#,##0\);\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1A1A2E"/>
      <rgbColor rgb="FF777777"/>
      <rgbColor rgb="FF800080"/>
      <rgbColor rgb="FF00897B"/>
      <rgbColor rgb="FFC8ECD8"/>
      <rgbColor rgb="FF888888"/>
      <rgbColor rgb="FF9999FF"/>
      <rgbColor rgb="FF555555"/>
      <rgbColor rgb="FFFFF3CD"/>
      <rgbColor rgb="FFD6F0E0"/>
      <rgbColor rgb="FF660066"/>
      <rgbColor rgb="FFFF8080"/>
      <rgbColor rgb="FF0070C0"/>
      <rgbColor rgb="FFD6E8F5"/>
      <rgbColor rgb="FF1B5E20"/>
      <rgbColor rgb="FFFF00FF"/>
      <rgbColor rgb="FFFFFF00"/>
      <rgbColor rgb="FF00FFFF"/>
      <rgbColor rgb="FF800080"/>
      <rgbColor rgb="FF800000"/>
      <rgbColor rgb="FF2E7D32"/>
      <rgbColor rgb="FF0000FF"/>
      <rgbColor rgb="FF00CCFF"/>
      <rgbColor rgb="FFD0E8F5"/>
      <rgbColor rgb="FFC8F7C5"/>
      <rgbColor rgb="FFF8F9FA"/>
      <rgbColor rgb="FF99CCFF"/>
      <rgbColor rgb="FFFF99CC"/>
      <rgbColor rgb="FFCC99FF"/>
      <rgbColor rgb="FFF0F4F8"/>
      <rgbColor rgb="FF1565C0"/>
      <rgbColor rgb="FF33CCCC"/>
      <rgbColor rgb="FF99CC00"/>
      <rgbColor rgb="FFFFCC00"/>
      <rgbColor rgb="FFFF9900"/>
      <rgbColor rgb="FFF57F17"/>
      <rgbColor rgb="FF666666"/>
      <rgbColor rgb="FFAAAAAA"/>
      <rgbColor rgb="FF0D47A1"/>
      <rgbColor rgb="FF4CAF50"/>
      <rgbColor rgb="FF0D1B2A"/>
      <rgbColor rgb="FF444444"/>
      <rgbColor rgb="FFC62828"/>
      <rgbColor rgb="FF3D5A73"/>
      <rgbColor rgb="FF2E4057"/>
      <rgbColor rgb="FF1B2A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9B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A95D9C-D6B4-47B2-9865-E2823F1489C9}" name="Table5" displayName="Table5" ref="B4:G24" totalsRowShown="0" headerRowDxfId="9" dataDxfId="8">
  <autoFilter ref="B4:G24" xr:uid="{30A95D9C-D6B4-47B2-9865-E2823F1489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1D6A1AF-7522-4094-8414-3332B8C00B21}" name="Item" dataDxfId="15"/>
    <tableColumn id="2" xr3:uid="{17CD3307-C7A9-481A-A188-19D7071C81A2}" name="2021" dataDxfId="14"/>
    <tableColumn id="3" xr3:uid="{792B5470-FB73-4F98-980A-8FDD4CAC822F}" name="2022" dataDxfId="13"/>
    <tableColumn id="4" xr3:uid="{71C39CC7-7904-4BF9-B206-BBC461393DFA}" name="2023" dataDxfId="12"/>
    <tableColumn id="5" xr3:uid="{7550D88D-420C-4962-A970-61681042D12F}" name="2024" dataDxfId="11"/>
    <tableColumn id="6" xr3:uid="{9F413B5F-8753-43D5-9D8F-FBE2F796C570}" name="2025" dataDxfId="10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C728FF-C31E-4470-8F36-76DBA85ABD5F}" name="Table6" displayName="Table6" ref="B27:G47" totalsRowShown="0" headerRowDxfId="17" dataDxfId="16">
  <autoFilter ref="B27:G47" xr:uid="{2EC728FF-C31E-4470-8F36-76DBA85ABD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8C7E7C-CFB6-4828-931E-EAA6D3CF4B71}" name="Item" dataDxfId="23"/>
    <tableColumn id="2" xr3:uid="{DFDF089B-8EF4-4579-ADD1-777AAE15243F}" name="2021" dataDxfId="22"/>
    <tableColumn id="3" xr3:uid="{827D359B-BBB3-4C51-8969-170B68791F91}" name="2022" dataDxfId="21"/>
    <tableColumn id="4" xr3:uid="{20006236-36A0-4E7B-B926-D4D170E2EB8D}" name="2023" dataDxfId="20"/>
    <tableColumn id="5" xr3:uid="{6322E87B-A973-4664-AB8F-54A9C3302EC6}" name="2024" dataDxfId="19"/>
    <tableColumn id="6" xr3:uid="{EB556937-64A4-4946-A027-026141A7FC09}" name="2025" dataDxfId="18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0A2FE2-13D0-41E2-827A-0B52FCBED82D}" name="Table7" displayName="Table7" ref="B50:G62" totalsRowShown="0" headerRowDxfId="1" dataDxfId="0">
  <autoFilter ref="B50:G62" xr:uid="{AD0A2FE2-13D0-41E2-827A-0B52FCBED8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3C0702-FF74-44FC-B469-3F089C2DDF6E}" name="Item" dataDxfId="7"/>
    <tableColumn id="2" xr3:uid="{8E4080CC-1DEF-4068-9B85-33E25F006760}" name="2021" dataDxfId="6"/>
    <tableColumn id="3" xr3:uid="{9AA85B84-2402-4023-8576-6B08E0A5E011}" name="2022" dataDxfId="5"/>
    <tableColumn id="4" xr3:uid="{54507800-1364-49F4-9EE6-60A61E56A2ED}" name="2023" dataDxfId="4"/>
    <tableColumn id="5" xr3:uid="{DD02399B-28FC-47B3-B2EA-E05A8AFD04D3}" name="2024" dataDxfId="3"/>
    <tableColumn id="6" xr3:uid="{E205EAE4-019B-4715-A8F4-48A4E4015FD0}" name="2025" dataDxfId="2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90666-6669-4555-A6E6-AC5BF440F9D1}" name="Table1" displayName="Table1" ref="B4:G18" totalsRowShown="0" headerRowDxfId="33" dataDxfId="32">
  <autoFilter ref="B4:G18" xr:uid="{D7A90666-6669-4555-A6E6-AC5BF440F9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1A9411-19C0-493B-B085-42FB9894659F}" name="Line Item" dataDxfId="39"/>
    <tableColumn id="2" xr3:uid="{8D737033-1219-444E-9415-4EF27028202F}" name="2021" dataDxfId="38"/>
    <tableColumn id="3" xr3:uid="{311E12EC-5B81-4BBF-9B65-5D4578566BBA}" name="2022" dataDxfId="37"/>
    <tableColumn id="4" xr3:uid="{73CF0638-CC24-4748-8352-E04F8AD0566F}" name="2023" dataDxfId="36"/>
    <tableColumn id="5" xr3:uid="{00106141-D676-4449-8040-51791A685AE6}" name="2024" dataDxfId="35"/>
    <tableColumn id="6" xr3:uid="{D7A8F48A-6389-4F70-825A-9BF7598974C0}" name="2025" dataDxfId="34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F1E4F6-B51C-45E8-9F9F-7C9B48034985}" name="Table3" displayName="Table3" ref="B21:G33" totalsRowShown="0" headerRowDxfId="40" dataDxfId="41">
  <autoFilter ref="B21:G33" xr:uid="{9EF1E4F6-B51C-45E8-9F9F-7C9B480349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B12DCE3-0498-471C-B81B-0456D06E0EFD}" name="Line Item" dataDxfId="47"/>
    <tableColumn id="2" xr3:uid="{2B6E1960-3F3B-4FC1-A515-5CC955038332}" name="2021" dataDxfId="46"/>
    <tableColumn id="3" xr3:uid="{550A4FBC-8C34-4DB1-BF76-D9FC62936F0E}" name="2022" dataDxfId="45"/>
    <tableColumn id="4" xr3:uid="{08461C9E-2AA4-4AB2-A7FB-79CB73AFE115}" name="2023" dataDxfId="44"/>
    <tableColumn id="5" xr3:uid="{2501C539-5A55-4EF1-84BB-0F47AB3CC018}" name="2024" dataDxfId="43"/>
    <tableColumn id="6" xr3:uid="{419EBA69-D2AF-4B5E-82BB-B967491D630D}" name="2025" dataDxfId="42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F7FE27-E050-499B-A7D3-11763AE1C8B1}" name="Table4" displayName="Table4" ref="B36:G45" totalsRowShown="0" headerRowDxfId="25" dataDxfId="24">
  <autoFilter ref="B36:G45" xr:uid="{72F7FE27-E050-499B-A7D3-11763AE1C8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B724FB2-837A-42BC-A568-126325B36F4E}" name="Line Item" dataDxfId="31"/>
    <tableColumn id="2" xr3:uid="{B4C38A29-94EC-43C9-B10A-567BAFA9751E}" name="2021" dataDxfId="30"/>
    <tableColumn id="3" xr3:uid="{218281D9-870A-44E2-8C19-A683D244C267}" name="2022" dataDxfId="29"/>
    <tableColumn id="4" xr3:uid="{29148847-2B87-4403-8A83-2CCD8885E763}" name="2023" dataDxfId="28"/>
    <tableColumn id="5" xr3:uid="{5B678689-16F6-4579-9748-129723EE3B81}" name="2024" dataDxfId="27"/>
    <tableColumn id="6" xr3:uid="{1222650F-34FB-48B3-9D0B-525EB811E557}" name="2025" dataDxfId="26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</sheetPr>
  <dimension ref="A1:H62"/>
  <sheetViews>
    <sheetView showGridLines="0" zoomScaleNormal="100" workbookViewId="0">
      <selection activeCell="L53" sqref="L53"/>
    </sheetView>
  </sheetViews>
  <sheetFormatPr defaultColWidth="8.6640625" defaultRowHeight="14.25" x14ac:dyDescent="0.45"/>
  <cols>
    <col min="1" max="1" width="1" customWidth="1"/>
    <col min="2" max="2" width="34" customWidth="1"/>
    <col min="3" max="7" width="13" customWidth="1"/>
  </cols>
  <sheetData>
    <row r="1" spans="1:8" ht="30" customHeight="1" x14ac:dyDescent="0.45">
      <c r="A1" s="4" t="s">
        <v>151</v>
      </c>
      <c r="B1" s="4"/>
      <c r="C1" s="4"/>
      <c r="D1" s="4"/>
      <c r="E1" s="4"/>
      <c r="F1" s="4"/>
      <c r="G1" s="4"/>
      <c r="H1" s="4"/>
    </row>
    <row r="2" spans="1:8" ht="15" customHeight="1" x14ac:dyDescent="0.45">
      <c r="B2" s="5" t="s">
        <v>0</v>
      </c>
    </row>
    <row r="3" spans="1:8" ht="15" customHeight="1" x14ac:dyDescent="0.45">
      <c r="B3" s="69" t="s">
        <v>1</v>
      </c>
      <c r="C3" s="69"/>
      <c r="D3" s="69"/>
      <c r="E3" s="69"/>
      <c r="F3" s="69"/>
      <c r="G3" s="69"/>
    </row>
    <row r="4" spans="1:8" ht="15" customHeight="1" x14ac:dyDescent="0.45">
      <c r="B4" s="55" t="s">
        <v>2</v>
      </c>
      <c r="C4" s="70" t="s">
        <v>3</v>
      </c>
      <c r="D4" s="70" t="s">
        <v>4</v>
      </c>
      <c r="E4" s="70" t="s">
        <v>5</v>
      </c>
      <c r="F4" s="70" t="s">
        <v>6</v>
      </c>
      <c r="G4" s="70" t="s">
        <v>7</v>
      </c>
    </row>
    <row r="5" spans="1:8" ht="15" customHeight="1" x14ac:dyDescent="0.45">
      <c r="B5" s="71" t="s">
        <v>8</v>
      </c>
      <c r="C5" s="72">
        <v>469822</v>
      </c>
      <c r="D5" s="72">
        <v>513983</v>
      </c>
      <c r="E5" s="72">
        <v>574785</v>
      </c>
      <c r="F5" s="72">
        <v>637959</v>
      </c>
      <c r="G5" s="72">
        <v>716924</v>
      </c>
    </row>
    <row r="6" spans="1:8" ht="15" customHeight="1" x14ac:dyDescent="0.45">
      <c r="B6" s="71" t="s">
        <v>9</v>
      </c>
      <c r="C6" s="72">
        <v>272344</v>
      </c>
      <c r="D6" s="72">
        <v>288831</v>
      </c>
      <c r="E6" s="72">
        <v>304739</v>
      </c>
      <c r="F6" s="72">
        <v>326288</v>
      </c>
      <c r="G6" s="72">
        <v>356414</v>
      </c>
    </row>
    <row r="7" spans="1:8" ht="15" customHeight="1" x14ac:dyDescent="0.45">
      <c r="B7" s="73" t="s">
        <v>10</v>
      </c>
      <c r="C7" s="72">
        <v>197478</v>
      </c>
      <c r="D7" s="72">
        <v>225152</v>
      </c>
      <c r="E7" s="72">
        <v>270046</v>
      </c>
      <c r="F7" s="72">
        <v>311671</v>
      </c>
      <c r="G7" s="72">
        <v>360510</v>
      </c>
    </row>
    <row r="8" spans="1:8" ht="15" customHeight="1" x14ac:dyDescent="0.45">
      <c r="B8" s="73" t="s">
        <v>11</v>
      </c>
      <c r="C8" s="74">
        <v>0.42030000000000001</v>
      </c>
      <c r="D8" s="74">
        <v>0.43809999999999999</v>
      </c>
      <c r="E8" s="74">
        <v>0.4698</v>
      </c>
      <c r="F8" s="74">
        <v>0.48849999999999999</v>
      </c>
      <c r="G8" s="74">
        <v>0.50290000000000001</v>
      </c>
    </row>
    <row r="9" spans="1:8" ht="15" customHeight="1" x14ac:dyDescent="0.45">
      <c r="B9" s="71" t="s">
        <v>12</v>
      </c>
      <c r="C9" s="72">
        <v>56052</v>
      </c>
      <c r="D9" s="72">
        <v>73213</v>
      </c>
      <c r="E9" s="72">
        <v>85622</v>
      </c>
      <c r="F9" s="72">
        <v>88544</v>
      </c>
      <c r="G9" s="72">
        <v>108521</v>
      </c>
    </row>
    <row r="10" spans="1:8" ht="15" customHeight="1" x14ac:dyDescent="0.45">
      <c r="B10" s="71" t="s">
        <v>13</v>
      </c>
      <c r="C10" s="72">
        <v>116485</v>
      </c>
      <c r="D10" s="72">
        <v>138428</v>
      </c>
      <c r="E10" s="72">
        <v>146805</v>
      </c>
      <c r="F10" s="72">
        <v>153771</v>
      </c>
      <c r="G10" s="72">
        <v>167375</v>
      </c>
    </row>
    <row r="11" spans="1:8" ht="15" customHeight="1" x14ac:dyDescent="0.45">
      <c r="B11" s="71" t="s">
        <v>14</v>
      </c>
      <c r="C11" s="72">
        <v>62</v>
      </c>
      <c r="D11" s="72">
        <v>163</v>
      </c>
      <c r="E11" s="72">
        <v>767</v>
      </c>
      <c r="F11" s="72">
        <v>763</v>
      </c>
      <c r="G11" s="72">
        <v>4639</v>
      </c>
    </row>
    <row r="12" spans="1:8" ht="15" customHeight="1" x14ac:dyDescent="0.45">
      <c r="B12" s="73" t="s">
        <v>15</v>
      </c>
      <c r="C12" s="72">
        <v>172599</v>
      </c>
      <c r="D12" s="72">
        <v>211804</v>
      </c>
      <c r="E12" s="72">
        <v>233194</v>
      </c>
      <c r="F12" s="72">
        <v>243078</v>
      </c>
      <c r="G12" s="72">
        <v>280535</v>
      </c>
    </row>
    <row r="13" spans="1:8" ht="15" customHeight="1" x14ac:dyDescent="0.45">
      <c r="B13" s="73" t="s">
        <v>16</v>
      </c>
      <c r="C13" s="72">
        <v>24879</v>
      </c>
      <c r="D13" s="72">
        <v>13348</v>
      </c>
      <c r="E13" s="72">
        <v>36852</v>
      </c>
      <c r="F13" s="72">
        <v>68593</v>
      </c>
      <c r="G13" s="72">
        <v>79975</v>
      </c>
    </row>
    <row r="14" spans="1:8" ht="15" customHeight="1" x14ac:dyDescent="0.45">
      <c r="B14" s="73" t="s">
        <v>17</v>
      </c>
      <c r="C14" s="74">
        <v>5.2999999999999999E-2</v>
      </c>
      <c r="D14" s="74">
        <v>2.5999999999999999E-2</v>
      </c>
      <c r="E14" s="74">
        <v>6.4100000000000004E-2</v>
      </c>
      <c r="F14" s="74">
        <v>0.1075</v>
      </c>
      <c r="G14" s="74">
        <v>0.1116</v>
      </c>
    </row>
    <row r="15" spans="1:8" ht="15" customHeight="1" x14ac:dyDescent="0.45">
      <c r="B15" s="71" t="s">
        <v>18</v>
      </c>
      <c r="C15" s="72">
        <v>-1809</v>
      </c>
      <c r="D15" s="72">
        <v>-2367</v>
      </c>
      <c r="E15" s="72">
        <v>-3182</v>
      </c>
      <c r="F15" s="72">
        <v>-2406</v>
      </c>
      <c r="G15" s="72">
        <v>-2274</v>
      </c>
    </row>
    <row r="16" spans="1:8" ht="15" customHeight="1" x14ac:dyDescent="0.45">
      <c r="B16" s="71" t="s">
        <v>19</v>
      </c>
      <c r="C16" s="72">
        <v>448</v>
      </c>
      <c r="D16" s="72">
        <v>989</v>
      </c>
      <c r="E16" s="72">
        <v>2949</v>
      </c>
      <c r="F16" s="72">
        <v>4677</v>
      </c>
      <c r="G16" s="72">
        <v>4381</v>
      </c>
    </row>
    <row r="17" spans="2:7" ht="15" customHeight="1" x14ac:dyDescent="0.45">
      <c r="B17" s="71" t="s">
        <v>20</v>
      </c>
      <c r="C17" s="72">
        <v>23448</v>
      </c>
      <c r="D17" s="72">
        <v>11087</v>
      </c>
      <c r="E17" s="72">
        <v>36560</v>
      </c>
      <c r="F17" s="72">
        <v>69941</v>
      </c>
      <c r="G17" s="72">
        <v>81456</v>
      </c>
    </row>
    <row r="18" spans="2:7" ht="15" customHeight="1" x14ac:dyDescent="0.45">
      <c r="B18" s="71" t="s">
        <v>21</v>
      </c>
      <c r="C18" s="72">
        <v>4791</v>
      </c>
      <c r="D18" s="72">
        <v>-3217</v>
      </c>
      <c r="E18" s="72">
        <v>7120</v>
      </c>
      <c r="F18" s="72">
        <v>9265</v>
      </c>
      <c r="G18" s="72">
        <v>19087</v>
      </c>
    </row>
    <row r="19" spans="2:7" ht="15" customHeight="1" x14ac:dyDescent="0.45">
      <c r="B19" s="73" t="s">
        <v>22</v>
      </c>
      <c r="C19" s="72">
        <v>33364</v>
      </c>
      <c r="D19" s="72">
        <v>-2722</v>
      </c>
      <c r="E19" s="72">
        <v>30425</v>
      </c>
      <c r="F19" s="72">
        <v>59248</v>
      </c>
      <c r="G19" s="72">
        <v>77670</v>
      </c>
    </row>
    <row r="20" spans="2:7" ht="15" customHeight="1" x14ac:dyDescent="0.45">
      <c r="B20" s="73" t="s">
        <v>23</v>
      </c>
      <c r="C20" s="74">
        <v>7.0999999999999994E-2</v>
      </c>
      <c r="D20" s="74">
        <v>-5.3E-3</v>
      </c>
      <c r="E20" s="74">
        <v>5.2900000000000003E-2</v>
      </c>
      <c r="F20" s="74">
        <v>9.2899999999999996E-2</v>
      </c>
      <c r="G20" s="74">
        <v>0.10829999999999999</v>
      </c>
    </row>
    <row r="21" spans="2:7" ht="15" customHeight="1" x14ac:dyDescent="0.45">
      <c r="B21" s="73" t="s">
        <v>24</v>
      </c>
      <c r="C21" s="72">
        <v>59312</v>
      </c>
      <c r="D21" s="72">
        <v>55269</v>
      </c>
      <c r="E21" s="72">
        <v>85515</v>
      </c>
      <c r="F21" s="72">
        <v>121388</v>
      </c>
      <c r="G21" s="72">
        <v>145731</v>
      </c>
    </row>
    <row r="22" spans="2:7" ht="15" customHeight="1" x14ac:dyDescent="0.45">
      <c r="B22" s="73" t="s">
        <v>25</v>
      </c>
      <c r="C22" s="74">
        <v>0.12620000000000001</v>
      </c>
      <c r="D22" s="74">
        <v>0.1075</v>
      </c>
      <c r="E22" s="74">
        <v>0.14879999999999999</v>
      </c>
      <c r="F22" s="74">
        <v>0.1903</v>
      </c>
      <c r="G22" s="74">
        <v>0.20330000000000001</v>
      </c>
    </row>
    <row r="23" spans="2:7" ht="15" customHeight="1" x14ac:dyDescent="0.45">
      <c r="B23" s="71" t="s">
        <v>26</v>
      </c>
      <c r="C23" s="75">
        <v>3.24</v>
      </c>
      <c r="D23" s="75">
        <v>-0.27</v>
      </c>
      <c r="E23" s="75">
        <v>2.9</v>
      </c>
      <c r="F23" s="75">
        <v>5.53</v>
      </c>
      <c r="G23" s="75">
        <v>7.17</v>
      </c>
    </row>
    <row r="24" spans="2:7" ht="15" customHeight="1" x14ac:dyDescent="0.45">
      <c r="B24" s="71" t="s">
        <v>27</v>
      </c>
      <c r="C24" s="72">
        <v>10296</v>
      </c>
      <c r="D24" s="72">
        <v>10189</v>
      </c>
      <c r="E24" s="72">
        <v>10492</v>
      </c>
      <c r="F24" s="72">
        <v>10721</v>
      </c>
      <c r="G24" s="72">
        <v>10827</v>
      </c>
    </row>
    <row r="26" spans="2:7" ht="15" customHeight="1" x14ac:dyDescent="0.45">
      <c r="B26" s="69" t="s">
        <v>28</v>
      </c>
      <c r="C26" s="69"/>
      <c r="D26" s="69"/>
      <c r="E26" s="69"/>
      <c r="F26" s="69"/>
      <c r="G26" s="69"/>
    </row>
    <row r="27" spans="2:7" ht="15" customHeight="1" x14ac:dyDescent="0.45">
      <c r="B27" s="55" t="s">
        <v>2</v>
      </c>
      <c r="C27" s="70" t="s">
        <v>3</v>
      </c>
      <c r="D27" s="70" t="s">
        <v>4</v>
      </c>
      <c r="E27" s="70" t="s">
        <v>5</v>
      </c>
      <c r="F27" s="70" t="s">
        <v>6</v>
      </c>
      <c r="G27" s="70" t="s">
        <v>7</v>
      </c>
    </row>
    <row r="28" spans="2:7" ht="15" customHeight="1" x14ac:dyDescent="0.45">
      <c r="B28" s="71" t="s">
        <v>29</v>
      </c>
      <c r="C28" s="72">
        <v>36220</v>
      </c>
      <c r="D28" s="72">
        <v>53888</v>
      </c>
      <c r="E28" s="72">
        <v>73387</v>
      </c>
      <c r="F28" s="72">
        <v>78779</v>
      </c>
      <c r="G28" s="72">
        <v>86810</v>
      </c>
    </row>
    <row r="29" spans="2:7" ht="15" customHeight="1" x14ac:dyDescent="0.45">
      <c r="B29" s="71" t="s">
        <v>30</v>
      </c>
      <c r="C29" s="72">
        <v>59829</v>
      </c>
      <c r="D29" s="72">
        <v>16138</v>
      </c>
      <c r="E29" s="72">
        <v>13393</v>
      </c>
      <c r="F29" s="72">
        <v>22423</v>
      </c>
      <c r="G29" s="72">
        <v>36219</v>
      </c>
    </row>
    <row r="30" spans="2:7" ht="15" customHeight="1" x14ac:dyDescent="0.45">
      <c r="B30" s="71" t="s">
        <v>31</v>
      </c>
      <c r="C30" s="72">
        <v>25500</v>
      </c>
      <c r="D30" s="72">
        <v>36202</v>
      </c>
      <c r="E30" s="72">
        <v>42600</v>
      </c>
      <c r="F30" s="72">
        <v>45900</v>
      </c>
      <c r="G30" s="72">
        <v>56300</v>
      </c>
    </row>
    <row r="31" spans="2:7" ht="15" customHeight="1" x14ac:dyDescent="0.45">
      <c r="B31" s="71" t="s">
        <v>32</v>
      </c>
      <c r="C31" s="72">
        <v>32640</v>
      </c>
      <c r="D31" s="72">
        <v>34405</v>
      </c>
      <c r="E31" s="72">
        <v>33318</v>
      </c>
      <c r="F31" s="72">
        <v>34214</v>
      </c>
      <c r="G31" s="72">
        <v>38325</v>
      </c>
    </row>
    <row r="32" spans="2:7" ht="15" customHeight="1" x14ac:dyDescent="0.45">
      <c r="B32" s="73" t="s">
        <v>33</v>
      </c>
      <c r="C32" s="72">
        <v>161580</v>
      </c>
      <c r="D32" s="72">
        <v>146791</v>
      </c>
      <c r="E32" s="72">
        <v>172351</v>
      </c>
      <c r="F32" s="72">
        <v>190867</v>
      </c>
      <c r="G32" s="72">
        <v>229083</v>
      </c>
    </row>
    <row r="33" spans="2:7" ht="15" customHeight="1" x14ac:dyDescent="0.45">
      <c r="B33" s="71" t="s">
        <v>34</v>
      </c>
      <c r="C33" s="72">
        <v>216363</v>
      </c>
      <c r="D33" s="72">
        <v>252838</v>
      </c>
      <c r="E33" s="72">
        <v>276690</v>
      </c>
      <c r="F33" s="72">
        <v>328806</v>
      </c>
      <c r="G33" s="72">
        <v>443079</v>
      </c>
    </row>
    <row r="34" spans="2:7" ht="15" customHeight="1" x14ac:dyDescent="0.45">
      <c r="B34" s="71" t="s">
        <v>35</v>
      </c>
      <c r="C34" s="72">
        <v>20478</v>
      </c>
      <c r="D34" s="72">
        <v>26385</v>
      </c>
      <c r="E34" s="72">
        <v>30476</v>
      </c>
      <c r="F34" s="72">
        <v>31676</v>
      </c>
      <c r="G34" s="72">
        <v>32470</v>
      </c>
    </row>
    <row r="35" spans="2:7" ht="15" customHeight="1" x14ac:dyDescent="0.45">
      <c r="B35" s="71" t="s">
        <v>36</v>
      </c>
      <c r="C35" s="72">
        <v>15371</v>
      </c>
      <c r="D35" s="72">
        <v>20288</v>
      </c>
      <c r="E35" s="72">
        <v>22789</v>
      </c>
      <c r="F35" s="72">
        <v>23074</v>
      </c>
      <c r="G35" s="72">
        <v>23273</v>
      </c>
    </row>
    <row r="36" spans="2:7" ht="15" customHeight="1" x14ac:dyDescent="0.45">
      <c r="B36" s="71" t="s">
        <v>37</v>
      </c>
      <c r="C36" s="72">
        <v>18125</v>
      </c>
      <c r="D36" s="72">
        <v>33846</v>
      </c>
      <c r="E36" s="72">
        <v>44769</v>
      </c>
      <c r="F36" s="72">
        <v>68656</v>
      </c>
      <c r="G36" s="72">
        <v>93851</v>
      </c>
    </row>
    <row r="37" spans="2:7" ht="15" customHeight="1" x14ac:dyDescent="0.45">
      <c r="B37" s="73" t="s">
        <v>38</v>
      </c>
      <c r="C37" s="72">
        <v>420549</v>
      </c>
      <c r="D37" s="72">
        <v>462675</v>
      </c>
      <c r="E37" s="72">
        <v>527854</v>
      </c>
      <c r="F37" s="72">
        <v>624894</v>
      </c>
      <c r="G37" s="72">
        <v>818042</v>
      </c>
    </row>
    <row r="38" spans="2:7" ht="15" customHeight="1" x14ac:dyDescent="0.45">
      <c r="B38" s="71" t="s">
        <v>39</v>
      </c>
      <c r="C38" s="72">
        <v>78664</v>
      </c>
      <c r="D38" s="72">
        <v>79600</v>
      </c>
      <c r="E38" s="72">
        <v>84981</v>
      </c>
      <c r="F38" s="72">
        <v>94363</v>
      </c>
      <c r="G38" s="72">
        <v>121909</v>
      </c>
    </row>
    <row r="39" spans="2:7" ht="15" customHeight="1" x14ac:dyDescent="0.45">
      <c r="B39" s="71" t="s">
        <v>40</v>
      </c>
      <c r="C39" s="72">
        <v>1043</v>
      </c>
      <c r="D39" s="72">
        <v>8000</v>
      </c>
      <c r="E39" s="72">
        <v>147</v>
      </c>
      <c r="F39" s="72">
        <v>151</v>
      </c>
      <c r="G39" s="72">
        <v>455</v>
      </c>
    </row>
    <row r="40" spans="2:7" ht="15" customHeight="1" x14ac:dyDescent="0.45">
      <c r="B40" s="71" t="s">
        <v>41</v>
      </c>
      <c r="C40" s="72">
        <v>16119</v>
      </c>
      <c r="D40" s="72">
        <v>15120</v>
      </c>
      <c r="E40" s="72">
        <v>19216</v>
      </c>
      <c r="F40" s="72">
        <v>17250</v>
      </c>
      <c r="G40" s="72">
        <v>17305</v>
      </c>
    </row>
    <row r="41" spans="2:7" ht="15" customHeight="1" x14ac:dyDescent="0.45">
      <c r="B41" s="73" t="s">
        <v>42</v>
      </c>
      <c r="C41" s="72">
        <v>142266</v>
      </c>
      <c r="D41" s="72">
        <v>155393</v>
      </c>
      <c r="E41" s="72">
        <v>164917</v>
      </c>
      <c r="F41" s="72">
        <v>179431</v>
      </c>
      <c r="G41" s="72">
        <v>218005</v>
      </c>
    </row>
    <row r="42" spans="2:7" ht="15" customHeight="1" x14ac:dyDescent="0.45">
      <c r="B42" s="71" t="s">
        <v>43</v>
      </c>
      <c r="C42" s="72">
        <v>54944</v>
      </c>
      <c r="D42" s="72">
        <v>73850</v>
      </c>
      <c r="E42" s="72">
        <v>64914</v>
      </c>
      <c r="F42" s="72">
        <v>59723</v>
      </c>
      <c r="G42" s="72">
        <v>73448</v>
      </c>
    </row>
    <row r="43" spans="2:7" ht="15" customHeight="1" x14ac:dyDescent="0.45">
      <c r="B43" s="71" t="s">
        <v>44</v>
      </c>
      <c r="C43" s="72">
        <v>67651</v>
      </c>
      <c r="D43" s="72">
        <v>72968</v>
      </c>
      <c r="E43" s="72">
        <v>77297</v>
      </c>
      <c r="F43" s="72">
        <v>78277</v>
      </c>
      <c r="G43" s="72">
        <v>87339</v>
      </c>
    </row>
    <row r="44" spans="2:7" ht="15" customHeight="1" x14ac:dyDescent="0.45">
      <c r="B44" s="73" t="s">
        <v>45</v>
      </c>
      <c r="C44" s="72">
        <v>282304</v>
      </c>
      <c r="D44" s="72">
        <v>316632</v>
      </c>
      <c r="E44" s="72">
        <v>325979</v>
      </c>
      <c r="F44" s="72">
        <v>338924</v>
      </c>
      <c r="G44" s="72">
        <v>406977</v>
      </c>
    </row>
    <row r="45" spans="2:7" ht="15" customHeight="1" x14ac:dyDescent="0.45">
      <c r="B45" s="71" t="s">
        <v>46</v>
      </c>
      <c r="C45" s="72">
        <v>85915</v>
      </c>
      <c r="D45" s="72">
        <v>83193</v>
      </c>
      <c r="E45" s="72">
        <v>113618</v>
      </c>
      <c r="F45" s="72">
        <v>172866</v>
      </c>
      <c r="G45" s="72">
        <v>250536</v>
      </c>
    </row>
    <row r="46" spans="2:7" ht="15" customHeight="1" x14ac:dyDescent="0.45">
      <c r="B46" s="73" t="s">
        <v>47</v>
      </c>
      <c r="C46" s="72">
        <v>138245</v>
      </c>
      <c r="D46" s="72">
        <v>146043</v>
      </c>
      <c r="E46" s="72">
        <v>201875</v>
      </c>
      <c r="F46" s="72">
        <v>285970</v>
      </c>
      <c r="G46" s="72">
        <v>411065</v>
      </c>
    </row>
    <row r="47" spans="2:7" ht="15" customHeight="1" x14ac:dyDescent="0.45">
      <c r="B47" s="73" t="s">
        <v>48</v>
      </c>
      <c r="C47" s="72">
        <v>420549</v>
      </c>
      <c r="D47" s="72">
        <v>462675</v>
      </c>
      <c r="E47" s="72">
        <v>527854</v>
      </c>
      <c r="F47" s="72">
        <v>624894</v>
      </c>
      <c r="G47" s="72">
        <v>818042</v>
      </c>
    </row>
    <row r="49" spans="2:7" ht="15" customHeight="1" x14ac:dyDescent="0.45">
      <c r="B49" s="69" t="s">
        <v>49</v>
      </c>
      <c r="C49" s="69"/>
      <c r="D49" s="69"/>
      <c r="E49" s="69"/>
      <c r="F49" s="69"/>
      <c r="G49" s="69"/>
    </row>
    <row r="50" spans="2:7" ht="15" customHeight="1" x14ac:dyDescent="0.45">
      <c r="B50" s="55" t="s">
        <v>2</v>
      </c>
      <c r="C50" s="70" t="s">
        <v>3</v>
      </c>
      <c r="D50" s="70" t="s">
        <v>4</v>
      </c>
      <c r="E50" s="70" t="s">
        <v>5</v>
      </c>
      <c r="F50" s="70" t="s">
        <v>6</v>
      </c>
      <c r="G50" s="70" t="s">
        <v>7</v>
      </c>
    </row>
    <row r="51" spans="2:7" ht="15" customHeight="1" x14ac:dyDescent="0.45">
      <c r="B51" s="71" t="s">
        <v>50</v>
      </c>
      <c r="C51" s="72">
        <v>46327</v>
      </c>
      <c r="D51" s="72">
        <v>46752</v>
      </c>
      <c r="E51" s="72">
        <v>84946</v>
      </c>
      <c r="F51" s="72">
        <v>115877</v>
      </c>
      <c r="G51" s="72">
        <v>139514</v>
      </c>
    </row>
    <row r="52" spans="2:7" ht="15" customHeight="1" x14ac:dyDescent="0.45">
      <c r="B52" s="73" t="s">
        <v>22</v>
      </c>
      <c r="C52" s="72">
        <v>33364</v>
      </c>
      <c r="D52" s="72">
        <v>-2722</v>
      </c>
      <c r="E52" s="72">
        <v>30425</v>
      </c>
      <c r="F52" s="72">
        <v>59248</v>
      </c>
      <c r="G52" s="72">
        <v>77670</v>
      </c>
    </row>
    <row r="53" spans="2:7" ht="15" customHeight="1" x14ac:dyDescent="0.45">
      <c r="B53" s="71" t="s">
        <v>51</v>
      </c>
      <c r="C53" s="72">
        <v>34433</v>
      </c>
      <c r="D53" s="72">
        <v>41921</v>
      </c>
      <c r="E53" s="72">
        <v>48663</v>
      </c>
      <c r="F53" s="72">
        <v>52795</v>
      </c>
      <c r="G53" s="72">
        <v>65756</v>
      </c>
    </row>
    <row r="54" spans="2:7" ht="15" customHeight="1" x14ac:dyDescent="0.45">
      <c r="B54" s="71" t="s">
        <v>52</v>
      </c>
      <c r="C54" s="72">
        <v>-19611</v>
      </c>
      <c r="D54" s="72">
        <v>-20886</v>
      </c>
      <c r="E54" s="72">
        <v>-11541</v>
      </c>
      <c r="F54" s="72">
        <v>-15541</v>
      </c>
      <c r="G54" s="72">
        <v>-19969</v>
      </c>
    </row>
    <row r="55" spans="2:7" ht="15" customHeight="1" x14ac:dyDescent="0.45">
      <c r="B55" s="71" t="s">
        <v>53</v>
      </c>
      <c r="C55" s="72">
        <v>-58154</v>
      </c>
      <c r="D55" s="72">
        <v>-37601</v>
      </c>
      <c r="E55" s="72">
        <v>-49833</v>
      </c>
      <c r="F55" s="72">
        <v>-94342</v>
      </c>
      <c r="G55" s="72">
        <v>-142545</v>
      </c>
    </row>
    <row r="56" spans="2:7" ht="15" customHeight="1" x14ac:dyDescent="0.45">
      <c r="B56" s="71" t="s">
        <v>54</v>
      </c>
      <c r="C56" s="72">
        <v>-61053</v>
      </c>
      <c r="D56" s="72">
        <v>-63645</v>
      </c>
      <c r="E56" s="72">
        <v>-52729</v>
      </c>
      <c r="F56" s="72">
        <v>-82999</v>
      </c>
      <c r="G56" s="72">
        <v>-131819</v>
      </c>
    </row>
    <row r="57" spans="2:7" ht="15" customHeight="1" x14ac:dyDescent="0.45">
      <c r="B57" s="71" t="s">
        <v>55</v>
      </c>
      <c r="C57" s="72">
        <v>2899</v>
      </c>
      <c r="D57" s="72">
        <v>26044</v>
      </c>
      <c r="E57" s="72">
        <v>2896</v>
      </c>
      <c r="F57" s="72">
        <v>-11343</v>
      </c>
      <c r="G57" s="72">
        <v>-10726</v>
      </c>
    </row>
    <row r="58" spans="2:7" ht="15" customHeight="1" x14ac:dyDescent="0.45">
      <c r="B58" s="71" t="s">
        <v>56</v>
      </c>
      <c r="C58" s="72">
        <v>6291</v>
      </c>
      <c r="D58" s="72">
        <v>9718</v>
      </c>
      <c r="E58" s="72">
        <v>-15879</v>
      </c>
      <c r="F58" s="72">
        <v>-11812</v>
      </c>
      <c r="G58" s="72">
        <v>9661</v>
      </c>
    </row>
    <row r="59" spans="2:7" ht="15" customHeight="1" x14ac:dyDescent="0.45">
      <c r="B59" s="73" t="s">
        <v>57</v>
      </c>
      <c r="C59" s="72">
        <v>26959</v>
      </c>
      <c r="D59" s="72">
        <v>62719</v>
      </c>
      <c r="E59" s="72">
        <v>18129</v>
      </c>
      <c r="F59" s="72">
        <v>5142</v>
      </c>
      <c r="G59" s="72">
        <v>24993</v>
      </c>
    </row>
    <row r="60" spans="2:7" ht="15" customHeight="1" x14ac:dyDescent="0.45">
      <c r="B60" s="73" t="s">
        <v>58</v>
      </c>
      <c r="C60" s="72">
        <v>-20668</v>
      </c>
      <c r="D60" s="72">
        <v>-47001</v>
      </c>
      <c r="E60" s="72">
        <v>-34008</v>
      </c>
      <c r="F60" s="72">
        <v>-16954</v>
      </c>
      <c r="G60" s="72">
        <v>-15332</v>
      </c>
    </row>
    <row r="61" spans="2:7" ht="15" customHeight="1" x14ac:dyDescent="0.45">
      <c r="B61" s="71" t="s">
        <v>59</v>
      </c>
      <c r="C61" s="72">
        <v>-5900</v>
      </c>
      <c r="D61" s="72">
        <v>17776</v>
      </c>
      <c r="E61" s="72">
        <v>19637</v>
      </c>
      <c r="F61" s="72">
        <v>8422</v>
      </c>
      <c r="G61" s="72">
        <v>7794</v>
      </c>
    </row>
    <row r="62" spans="2:7" ht="15" customHeight="1" x14ac:dyDescent="0.45">
      <c r="B62" s="71" t="s">
        <v>60</v>
      </c>
      <c r="C62" s="72">
        <v>-14726</v>
      </c>
      <c r="D62" s="72">
        <v>-16893</v>
      </c>
      <c r="E62" s="72">
        <v>32217</v>
      </c>
      <c r="F62" s="72">
        <v>32878</v>
      </c>
      <c r="G62" s="72">
        <v>7695</v>
      </c>
    </row>
  </sheetData>
  <mergeCells count="4">
    <mergeCell ref="A1:H1"/>
    <mergeCell ref="B3:G3"/>
    <mergeCell ref="B26:G26"/>
    <mergeCell ref="B49:G49"/>
  </mergeCells>
  <pageMargins left="0.75" right="0.75" top="1" bottom="1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H45"/>
  <sheetViews>
    <sheetView showGridLines="0" zoomScaleNormal="100" workbookViewId="0">
      <selection activeCell="J20" sqref="J20"/>
    </sheetView>
  </sheetViews>
  <sheetFormatPr defaultColWidth="8.6640625" defaultRowHeight="14.25" x14ac:dyDescent="0.45"/>
  <cols>
    <col min="1" max="1" width="1" customWidth="1"/>
    <col min="2" max="2" width="30" customWidth="1"/>
    <col min="3" max="7" width="13" customWidth="1"/>
  </cols>
  <sheetData>
    <row r="1" spans="1:8" ht="30" customHeight="1" x14ac:dyDescent="0.45">
      <c r="A1" s="48" t="s">
        <v>61</v>
      </c>
      <c r="B1" s="48"/>
      <c r="C1" s="48"/>
      <c r="D1" s="48"/>
      <c r="E1" s="48"/>
      <c r="F1" s="48"/>
      <c r="G1" s="48"/>
      <c r="H1" s="48"/>
    </row>
    <row r="2" spans="1:8" ht="15" customHeight="1" x14ac:dyDescent="0.45">
      <c r="B2" s="5" t="s">
        <v>62</v>
      </c>
    </row>
    <row r="3" spans="1:8" ht="15" customHeight="1" x14ac:dyDescent="0.45">
      <c r="B3" s="76" t="s">
        <v>63</v>
      </c>
      <c r="C3" s="76"/>
      <c r="D3" s="76"/>
      <c r="E3" s="76"/>
      <c r="F3" s="76"/>
      <c r="G3" s="76"/>
    </row>
    <row r="4" spans="1:8" ht="15" customHeight="1" x14ac:dyDescent="0.45">
      <c r="B4" s="55" t="s">
        <v>64</v>
      </c>
      <c r="C4" s="56" t="s">
        <v>3</v>
      </c>
      <c r="D4" s="56" t="s">
        <v>4</v>
      </c>
      <c r="E4" s="56" t="s">
        <v>5</v>
      </c>
      <c r="F4" s="56" t="s">
        <v>6</v>
      </c>
      <c r="G4" s="56" t="s">
        <v>7</v>
      </c>
    </row>
    <row r="5" spans="1:8" ht="15" customHeight="1" x14ac:dyDescent="0.45">
      <c r="B5" s="57" t="s">
        <v>8</v>
      </c>
      <c r="C5" s="58">
        <v>469822</v>
      </c>
      <c r="D5" s="58">
        <v>513983</v>
      </c>
      <c r="E5" s="58">
        <v>574785</v>
      </c>
      <c r="F5" s="58">
        <v>637959</v>
      </c>
      <c r="G5" s="58">
        <v>716924</v>
      </c>
    </row>
    <row r="6" spans="1:8" ht="15" customHeight="1" x14ac:dyDescent="0.45">
      <c r="B6" s="57" t="s">
        <v>9</v>
      </c>
      <c r="C6" s="58">
        <v>272344</v>
      </c>
      <c r="D6" s="58">
        <v>288831</v>
      </c>
      <c r="E6" s="58">
        <v>304739</v>
      </c>
      <c r="F6" s="58">
        <v>326288</v>
      </c>
      <c r="G6" s="58">
        <v>356414</v>
      </c>
    </row>
    <row r="7" spans="1:8" ht="15" customHeight="1" x14ac:dyDescent="0.45">
      <c r="B7" s="59" t="s">
        <v>10</v>
      </c>
      <c r="C7" s="60">
        <v>197478</v>
      </c>
      <c r="D7" s="60">
        <v>225152</v>
      </c>
      <c r="E7" s="60">
        <v>270046</v>
      </c>
      <c r="F7" s="60">
        <v>311671</v>
      </c>
      <c r="G7" s="60">
        <v>360510</v>
      </c>
    </row>
    <row r="8" spans="1:8" ht="15" customHeight="1" x14ac:dyDescent="0.45">
      <c r="B8" s="57" t="s">
        <v>11</v>
      </c>
      <c r="C8" s="67">
        <v>0.42030000000000001</v>
      </c>
      <c r="D8" s="67">
        <v>0.43809999999999999</v>
      </c>
      <c r="E8" s="67">
        <v>0.4698</v>
      </c>
      <c r="F8" s="67">
        <v>0.48849999999999999</v>
      </c>
      <c r="G8" s="67">
        <v>0.50290000000000001</v>
      </c>
    </row>
    <row r="9" spans="1:8" ht="15" customHeight="1" x14ac:dyDescent="0.45">
      <c r="B9" s="57" t="s">
        <v>15</v>
      </c>
      <c r="C9" s="58">
        <v>172599</v>
      </c>
      <c r="D9" s="58">
        <v>211804</v>
      </c>
      <c r="E9" s="58">
        <v>233194</v>
      </c>
      <c r="F9" s="58">
        <v>243078</v>
      </c>
      <c r="G9" s="58">
        <v>280535</v>
      </c>
    </row>
    <row r="10" spans="1:8" ht="15" customHeight="1" x14ac:dyDescent="0.45">
      <c r="B10" s="59" t="s">
        <v>16</v>
      </c>
      <c r="C10" s="60">
        <v>24879</v>
      </c>
      <c r="D10" s="60">
        <v>13348</v>
      </c>
      <c r="E10" s="60">
        <v>36852</v>
      </c>
      <c r="F10" s="60">
        <v>68593</v>
      </c>
      <c r="G10" s="60">
        <v>79975</v>
      </c>
    </row>
    <row r="11" spans="1:8" ht="15" customHeight="1" x14ac:dyDescent="0.45">
      <c r="B11" s="57" t="s">
        <v>17</v>
      </c>
      <c r="C11" s="67">
        <v>5.2999999999999999E-2</v>
      </c>
      <c r="D11" s="67">
        <v>2.5999999999999999E-2</v>
      </c>
      <c r="E11" s="67">
        <v>6.4100000000000004E-2</v>
      </c>
      <c r="F11" s="67">
        <v>0.1075</v>
      </c>
      <c r="G11" s="67">
        <v>0.1116</v>
      </c>
    </row>
    <row r="12" spans="1:8" ht="15" customHeight="1" x14ac:dyDescent="0.45">
      <c r="B12" s="57" t="s">
        <v>65</v>
      </c>
      <c r="C12" s="58">
        <v>-1361</v>
      </c>
      <c r="D12" s="58">
        <v>-1378</v>
      </c>
      <c r="E12" s="58">
        <v>-233</v>
      </c>
      <c r="F12" s="58">
        <v>2271</v>
      </c>
      <c r="G12" s="58">
        <v>2107</v>
      </c>
    </row>
    <row r="13" spans="1:8" ht="15" customHeight="1" x14ac:dyDescent="0.45">
      <c r="B13" s="57" t="s">
        <v>20</v>
      </c>
      <c r="C13" s="58">
        <v>23518</v>
      </c>
      <c r="D13" s="58">
        <v>11970</v>
      </c>
      <c r="E13" s="58">
        <v>36619</v>
      </c>
      <c r="F13" s="58">
        <v>70864</v>
      </c>
      <c r="G13" s="58">
        <v>82082</v>
      </c>
    </row>
    <row r="14" spans="1:8" ht="15" customHeight="1" x14ac:dyDescent="0.45">
      <c r="B14" s="57" t="s">
        <v>66</v>
      </c>
      <c r="C14" s="58">
        <v>4791</v>
      </c>
      <c r="D14" s="58">
        <v>-3217</v>
      </c>
      <c r="E14" s="58">
        <v>7120</v>
      </c>
      <c r="F14" s="58">
        <v>9265</v>
      </c>
      <c r="G14" s="58">
        <v>19087</v>
      </c>
    </row>
    <row r="15" spans="1:8" ht="15" customHeight="1" x14ac:dyDescent="0.45">
      <c r="B15" s="59" t="s">
        <v>22</v>
      </c>
      <c r="C15" s="60">
        <v>33364</v>
      </c>
      <c r="D15" s="60">
        <v>-2722</v>
      </c>
      <c r="E15" s="60">
        <v>30425</v>
      </c>
      <c r="F15" s="60">
        <v>59248</v>
      </c>
      <c r="G15" s="60">
        <v>77670</v>
      </c>
    </row>
    <row r="16" spans="1:8" ht="15" customHeight="1" x14ac:dyDescent="0.45">
      <c r="B16" s="57" t="s">
        <v>23</v>
      </c>
      <c r="C16" s="67">
        <v>7.0999999999999994E-2</v>
      </c>
      <c r="D16" s="67">
        <v>-5.3E-3</v>
      </c>
      <c r="E16" s="67">
        <v>5.2900000000000003E-2</v>
      </c>
      <c r="F16" s="67">
        <v>9.2899999999999996E-2</v>
      </c>
      <c r="G16" s="67">
        <v>0.10829999999999999</v>
      </c>
    </row>
    <row r="17" spans="2:7" ht="15" customHeight="1" x14ac:dyDescent="0.45">
      <c r="B17" s="59" t="s">
        <v>24</v>
      </c>
      <c r="C17" s="60">
        <v>59312</v>
      </c>
      <c r="D17" s="60">
        <v>55269</v>
      </c>
      <c r="E17" s="60">
        <v>85515</v>
      </c>
      <c r="F17" s="60">
        <v>121388</v>
      </c>
      <c r="G17" s="60">
        <v>145731</v>
      </c>
    </row>
    <row r="18" spans="2:7" ht="15" customHeight="1" x14ac:dyDescent="0.45">
      <c r="B18" s="57" t="s">
        <v>25</v>
      </c>
      <c r="C18" s="67">
        <v>0.12620000000000001</v>
      </c>
      <c r="D18" s="67">
        <v>0.1075</v>
      </c>
      <c r="E18" s="67">
        <v>0.14879999999999999</v>
      </c>
      <c r="F18" s="67">
        <v>0.1903</v>
      </c>
      <c r="G18" s="67">
        <v>0.20330000000000001</v>
      </c>
    </row>
    <row r="20" spans="2:7" ht="15" customHeight="1" x14ac:dyDescent="0.45">
      <c r="B20" s="68" t="s">
        <v>67</v>
      </c>
      <c r="C20" s="68"/>
      <c r="D20" s="68"/>
      <c r="E20" s="68"/>
      <c r="F20" s="68"/>
      <c r="G20" s="68"/>
    </row>
    <row r="21" spans="2:7" ht="15" customHeight="1" x14ac:dyDescent="0.45">
      <c r="B21" s="65" t="s">
        <v>64</v>
      </c>
      <c r="C21" s="66" t="s">
        <v>3</v>
      </c>
      <c r="D21" s="66" t="s">
        <v>4</v>
      </c>
      <c r="E21" s="66" t="s">
        <v>5</v>
      </c>
      <c r="F21" s="66" t="s">
        <v>6</v>
      </c>
      <c r="G21" s="66" t="s">
        <v>7</v>
      </c>
    </row>
    <row r="22" spans="2:7" ht="15" customHeight="1" x14ac:dyDescent="0.45">
      <c r="B22" s="62" t="s">
        <v>29</v>
      </c>
      <c r="C22" s="63">
        <v>36220</v>
      </c>
      <c r="D22" s="63">
        <v>53888</v>
      </c>
      <c r="E22" s="63">
        <v>73387</v>
      </c>
      <c r="F22" s="63">
        <v>78779</v>
      </c>
      <c r="G22" s="63">
        <v>86810</v>
      </c>
    </row>
    <row r="23" spans="2:7" ht="15" customHeight="1" x14ac:dyDescent="0.45">
      <c r="B23" s="62" t="s">
        <v>31</v>
      </c>
      <c r="C23" s="63">
        <v>25500</v>
      </c>
      <c r="D23" s="63">
        <v>36202</v>
      </c>
      <c r="E23" s="63">
        <v>42600</v>
      </c>
      <c r="F23" s="63">
        <v>45900</v>
      </c>
      <c r="G23" s="63">
        <v>56300</v>
      </c>
    </row>
    <row r="24" spans="2:7" ht="15" customHeight="1" x14ac:dyDescent="0.45">
      <c r="B24" s="62" t="s">
        <v>32</v>
      </c>
      <c r="C24" s="63">
        <v>32640</v>
      </c>
      <c r="D24" s="63">
        <v>34405</v>
      </c>
      <c r="E24" s="63">
        <v>33318</v>
      </c>
      <c r="F24" s="63">
        <v>34214</v>
      </c>
      <c r="G24" s="63">
        <v>38325</v>
      </c>
    </row>
    <row r="25" spans="2:7" ht="15" customHeight="1" x14ac:dyDescent="0.45">
      <c r="B25" s="62" t="s">
        <v>34</v>
      </c>
      <c r="C25" s="63">
        <v>216363</v>
      </c>
      <c r="D25" s="63">
        <v>252838</v>
      </c>
      <c r="E25" s="63">
        <v>276690</v>
      </c>
      <c r="F25" s="63">
        <v>328806</v>
      </c>
      <c r="G25" s="63">
        <v>443079</v>
      </c>
    </row>
    <row r="26" spans="2:7" ht="15" customHeight="1" x14ac:dyDescent="0.45">
      <c r="B26" s="61" t="s">
        <v>38</v>
      </c>
      <c r="C26" s="64">
        <v>420549</v>
      </c>
      <c r="D26" s="64">
        <v>462675</v>
      </c>
      <c r="E26" s="64">
        <v>527854</v>
      </c>
      <c r="F26" s="64">
        <v>624894</v>
      </c>
      <c r="G26" s="64">
        <v>818042</v>
      </c>
    </row>
    <row r="27" spans="2:7" ht="15" customHeight="1" x14ac:dyDescent="0.45">
      <c r="B27" s="62" t="s">
        <v>39</v>
      </c>
      <c r="C27" s="63">
        <v>78664</v>
      </c>
      <c r="D27" s="63">
        <v>79600</v>
      </c>
      <c r="E27" s="63">
        <v>84981</v>
      </c>
      <c r="F27" s="63">
        <v>94363</v>
      </c>
      <c r="G27" s="63">
        <v>121909</v>
      </c>
    </row>
    <row r="28" spans="2:7" ht="15" customHeight="1" x14ac:dyDescent="0.45">
      <c r="B28" s="62" t="s">
        <v>40</v>
      </c>
      <c r="C28" s="63">
        <v>1043</v>
      </c>
      <c r="D28" s="63">
        <v>8000</v>
      </c>
      <c r="E28" s="63">
        <v>147</v>
      </c>
      <c r="F28" s="63">
        <v>151</v>
      </c>
      <c r="G28" s="63">
        <v>455</v>
      </c>
    </row>
    <row r="29" spans="2:7" ht="15" customHeight="1" x14ac:dyDescent="0.45">
      <c r="B29" s="62" t="s">
        <v>43</v>
      </c>
      <c r="C29" s="63">
        <v>54944</v>
      </c>
      <c r="D29" s="63">
        <v>73850</v>
      </c>
      <c r="E29" s="63">
        <v>64914</v>
      </c>
      <c r="F29" s="63">
        <v>59723</v>
      </c>
      <c r="G29" s="63">
        <v>73448</v>
      </c>
    </row>
    <row r="30" spans="2:7" ht="15" customHeight="1" x14ac:dyDescent="0.45">
      <c r="B30" s="61" t="s">
        <v>45</v>
      </c>
      <c r="C30" s="64">
        <v>282304</v>
      </c>
      <c r="D30" s="64">
        <v>316632</v>
      </c>
      <c r="E30" s="64">
        <v>325979</v>
      </c>
      <c r="F30" s="64">
        <v>338924</v>
      </c>
      <c r="G30" s="64">
        <v>406977</v>
      </c>
    </row>
    <row r="31" spans="2:7" ht="15" customHeight="1" x14ac:dyDescent="0.45">
      <c r="B31" s="62" t="s">
        <v>46</v>
      </c>
      <c r="C31" s="63">
        <v>85915</v>
      </c>
      <c r="D31" s="63">
        <v>83193</v>
      </c>
      <c r="E31" s="63">
        <v>113618</v>
      </c>
      <c r="F31" s="63">
        <v>172866</v>
      </c>
      <c r="G31" s="63">
        <v>250536</v>
      </c>
    </row>
    <row r="32" spans="2:7" ht="15" customHeight="1" x14ac:dyDescent="0.45">
      <c r="B32" s="61" t="s">
        <v>47</v>
      </c>
      <c r="C32" s="64">
        <v>138245</v>
      </c>
      <c r="D32" s="64">
        <v>146043</v>
      </c>
      <c r="E32" s="64">
        <v>201875</v>
      </c>
      <c r="F32" s="64">
        <v>285970</v>
      </c>
      <c r="G32" s="64">
        <v>411065</v>
      </c>
    </row>
    <row r="33" spans="2:7" ht="15" customHeight="1" x14ac:dyDescent="0.45">
      <c r="B33" s="61" t="s">
        <v>48</v>
      </c>
      <c r="C33" s="64">
        <v>420549</v>
      </c>
      <c r="D33" s="64">
        <v>462675</v>
      </c>
      <c r="E33" s="64">
        <v>527854</v>
      </c>
      <c r="F33" s="64">
        <v>624894</v>
      </c>
      <c r="G33" s="64">
        <v>818042</v>
      </c>
    </row>
    <row r="35" spans="2:7" ht="15" customHeight="1" x14ac:dyDescent="0.45">
      <c r="B35" s="68" t="s">
        <v>68</v>
      </c>
      <c r="C35" s="68"/>
      <c r="D35" s="68"/>
      <c r="E35" s="68"/>
      <c r="F35" s="68"/>
      <c r="G35" s="68"/>
    </row>
    <row r="36" spans="2:7" ht="15" customHeight="1" x14ac:dyDescent="0.45">
      <c r="B36" s="55" t="s">
        <v>64</v>
      </c>
      <c r="C36" s="56" t="s">
        <v>3</v>
      </c>
      <c r="D36" s="56" t="s">
        <v>4</v>
      </c>
      <c r="E36" s="56" t="s">
        <v>5</v>
      </c>
      <c r="F36" s="56" t="s">
        <v>6</v>
      </c>
      <c r="G36" s="56" t="s">
        <v>7</v>
      </c>
    </row>
    <row r="37" spans="2:7" ht="15" customHeight="1" x14ac:dyDescent="0.45">
      <c r="B37" s="59" t="s">
        <v>50</v>
      </c>
      <c r="C37" s="60">
        <v>46327</v>
      </c>
      <c r="D37" s="60">
        <v>46752</v>
      </c>
      <c r="E37" s="60">
        <v>84946</v>
      </c>
      <c r="F37" s="60">
        <v>115877</v>
      </c>
      <c r="G37" s="60">
        <v>139514</v>
      </c>
    </row>
    <row r="38" spans="2:7" ht="15" customHeight="1" x14ac:dyDescent="0.45">
      <c r="B38" s="59" t="s">
        <v>22</v>
      </c>
      <c r="C38" s="60">
        <v>33364</v>
      </c>
      <c r="D38" s="60">
        <v>-2722</v>
      </c>
      <c r="E38" s="60">
        <v>30425</v>
      </c>
      <c r="F38" s="60">
        <v>59248</v>
      </c>
      <c r="G38" s="60">
        <v>77670</v>
      </c>
    </row>
    <row r="39" spans="2:7" ht="15" customHeight="1" x14ac:dyDescent="0.45">
      <c r="B39" s="57" t="s">
        <v>51</v>
      </c>
      <c r="C39" s="58">
        <v>34433</v>
      </c>
      <c r="D39" s="58">
        <v>41921</v>
      </c>
      <c r="E39" s="58">
        <v>48663</v>
      </c>
      <c r="F39" s="58">
        <v>52795</v>
      </c>
      <c r="G39" s="58">
        <v>65756</v>
      </c>
    </row>
    <row r="40" spans="2:7" ht="15" customHeight="1" x14ac:dyDescent="0.45">
      <c r="B40" s="57" t="s">
        <v>52</v>
      </c>
      <c r="C40" s="58">
        <v>-19611</v>
      </c>
      <c r="D40" s="58">
        <v>-20886</v>
      </c>
      <c r="E40" s="58">
        <v>-11541</v>
      </c>
      <c r="F40" s="58">
        <v>-15541</v>
      </c>
      <c r="G40" s="58">
        <v>-19969</v>
      </c>
    </row>
    <row r="41" spans="2:7" ht="15" customHeight="1" x14ac:dyDescent="0.45">
      <c r="B41" s="59" t="s">
        <v>53</v>
      </c>
      <c r="C41" s="60">
        <v>-58154</v>
      </c>
      <c r="D41" s="60">
        <v>-37601</v>
      </c>
      <c r="E41" s="60">
        <v>-49833</v>
      </c>
      <c r="F41" s="60">
        <v>-94342</v>
      </c>
      <c r="G41" s="60">
        <v>-142545</v>
      </c>
    </row>
    <row r="42" spans="2:7" ht="15" customHeight="1" x14ac:dyDescent="0.45">
      <c r="B42" s="57" t="s">
        <v>69</v>
      </c>
      <c r="C42" s="58">
        <v>-61053</v>
      </c>
      <c r="D42" s="58">
        <v>-63645</v>
      </c>
      <c r="E42" s="58">
        <v>-52729</v>
      </c>
      <c r="F42" s="58">
        <v>-82999</v>
      </c>
      <c r="G42" s="58">
        <v>-131819</v>
      </c>
    </row>
    <row r="43" spans="2:7" ht="15" customHeight="1" x14ac:dyDescent="0.45">
      <c r="B43" s="59" t="s">
        <v>56</v>
      </c>
      <c r="C43" s="60">
        <v>6291</v>
      </c>
      <c r="D43" s="60">
        <v>9718</v>
      </c>
      <c r="E43" s="60">
        <v>-15879</v>
      </c>
      <c r="F43" s="60">
        <v>-11812</v>
      </c>
      <c r="G43" s="60">
        <v>9661</v>
      </c>
    </row>
    <row r="44" spans="2:7" ht="15" customHeight="1" x14ac:dyDescent="0.45">
      <c r="B44" s="57" t="s">
        <v>59</v>
      </c>
      <c r="C44" s="58">
        <v>-5900</v>
      </c>
      <c r="D44" s="58">
        <v>17776</v>
      </c>
      <c r="E44" s="58">
        <v>19637</v>
      </c>
      <c r="F44" s="58">
        <v>8422</v>
      </c>
      <c r="G44" s="58">
        <v>7794</v>
      </c>
    </row>
    <row r="45" spans="2:7" ht="15" customHeight="1" x14ac:dyDescent="0.45">
      <c r="B45" s="59" t="s">
        <v>70</v>
      </c>
      <c r="C45" s="60">
        <v>-14726</v>
      </c>
      <c r="D45" s="60">
        <v>-16893</v>
      </c>
      <c r="E45" s="60">
        <v>32217</v>
      </c>
      <c r="F45" s="60">
        <v>32878</v>
      </c>
      <c r="G45" s="60">
        <v>7695</v>
      </c>
    </row>
  </sheetData>
  <mergeCells count="2">
    <mergeCell ref="B20:G20"/>
    <mergeCell ref="B35:G35"/>
  </mergeCells>
  <pageMargins left="0.75" right="0.75" top="1" bottom="1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D19"/>
  <sheetViews>
    <sheetView showGridLines="0" zoomScaleNormal="100" workbookViewId="0">
      <selection sqref="A1:D1"/>
    </sheetView>
  </sheetViews>
  <sheetFormatPr defaultColWidth="8.6640625" defaultRowHeight="14.25" x14ac:dyDescent="0.45"/>
  <cols>
    <col min="1" max="1" width="1" customWidth="1"/>
    <col min="2" max="2" width="32" customWidth="1"/>
    <col min="3" max="3" width="14" customWidth="1"/>
    <col min="4" max="4" width="40" customWidth="1"/>
  </cols>
  <sheetData>
    <row r="1" spans="1:4" ht="27.75" customHeight="1" x14ac:dyDescent="0.45">
      <c r="A1" s="82" t="s">
        <v>71</v>
      </c>
      <c r="B1" s="82"/>
      <c r="C1" s="82"/>
      <c r="D1" s="82"/>
    </row>
    <row r="2" spans="1:4" ht="15" customHeight="1" x14ac:dyDescent="0.45">
      <c r="B2" s="10"/>
    </row>
    <row r="3" spans="1:4" ht="15" customHeight="1" x14ac:dyDescent="0.45">
      <c r="B3" s="77" t="s">
        <v>72</v>
      </c>
      <c r="C3" s="77"/>
      <c r="D3" s="77"/>
    </row>
    <row r="4" spans="1:4" ht="18" customHeight="1" x14ac:dyDescent="0.45">
      <c r="B4" s="78" t="s">
        <v>73</v>
      </c>
      <c r="C4" s="79">
        <v>0.12</v>
      </c>
      <c r="D4" s="80" t="s">
        <v>152</v>
      </c>
    </row>
    <row r="5" spans="1:4" ht="18" customHeight="1" x14ac:dyDescent="0.45">
      <c r="B5" s="78" t="s">
        <v>74</v>
      </c>
      <c r="C5" s="79">
        <v>0.13</v>
      </c>
      <c r="D5" s="80" t="s">
        <v>153</v>
      </c>
    </row>
    <row r="6" spans="1:4" ht="18" customHeight="1" x14ac:dyDescent="0.45">
      <c r="B6" s="78" t="s">
        <v>75</v>
      </c>
      <c r="C6" s="79">
        <v>0.497</v>
      </c>
      <c r="D6" s="80" t="s">
        <v>154</v>
      </c>
    </row>
    <row r="7" spans="1:4" ht="18" customHeight="1" x14ac:dyDescent="0.45">
      <c r="B7" s="78" t="s">
        <v>76</v>
      </c>
      <c r="C7" s="79">
        <v>0.39200000000000002</v>
      </c>
      <c r="D7" s="80" t="s">
        <v>155</v>
      </c>
    </row>
    <row r="8" spans="1:4" ht="18" customHeight="1" x14ac:dyDescent="0.45">
      <c r="B8" s="78" t="s">
        <v>77</v>
      </c>
      <c r="C8" s="79">
        <v>0.21</v>
      </c>
      <c r="D8" s="80" t="s">
        <v>156</v>
      </c>
    </row>
    <row r="10" spans="1:4" ht="15" customHeight="1" x14ac:dyDescent="0.45">
      <c r="B10" s="77" t="s">
        <v>78</v>
      </c>
      <c r="C10" s="77"/>
      <c r="D10" s="77"/>
    </row>
    <row r="11" spans="1:4" ht="18" customHeight="1" x14ac:dyDescent="0.45">
      <c r="B11" s="78" t="s">
        <v>79</v>
      </c>
      <c r="C11" s="81">
        <v>28</v>
      </c>
      <c r="D11" s="80" t="s">
        <v>157</v>
      </c>
    </row>
    <row r="12" spans="1:4" ht="18" customHeight="1" x14ac:dyDescent="0.45">
      <c r="B12" s="78" t="s">
        <v>80</v>
      </c>
      <c r="C12" s="79">
        <v>5.3999999999999999E-2</v>
      </c>
      <c r="D12" s="80" t="s">
        <v>158</v>
      </c>
    </row>
    <row r="13" spans="1:4" ht="18" customHeight="1" x14ac:dyDescent="0.45">
      <c r="B13" s="78" t="s">
        <v>81</v>
      </c>
      <c r="C13" s="81">
        <v>62</v>
      </c>
      <c r="D13" s="80" t="s">
        <v>159</v>
      </c>
    </row>
    <row r="14" spans="1:4" ht="18" customHeight="1" x14ac:dyDescent="0.45">
      <c r="B14" s="78" t="s">
        <v>82</v>
      </c>
      <c r="C14" s="79">
        <v>0.17</v>
      </c>
      <c r="D14" s="80" t="s">
        <v>160</v>
      </c>
    </row>
    <row r="15" spans="1:4" ht="18" customHeight="1" x14ac:dyDescent="0.45">
      <c r="B15" s="78" t="s">
        <v>83</v>
      </c>
      <c r="C15" s="79">
        <v>0.14799999999999999</v>
      </c>
      <c r="D15" s="80" t="s">
        <v>161</v>
      </c>
    </row>
    <row r="17" spans="2:4" ht="15" customHeight="1" x14ac:dyDescent="0.45">
      <c r="B17" s="77" t="s">
        <v>84</v>
      </c>
      <c r="C17" s="77"/>
      <c r="D17" s="77"/>
    </row>
    <row r="18" spans="2:4" ht="18" customHeight="1" x14ac:dyDescent="0.45">
      <c r="B18" s="78" t="s">
        <v>85</v>
      </c>
      <c r="C18" s="79">
        <v>3.3000000000000002E-2</v>
      </c>
      <c r="D18" s="80" t="s">
        <v>162</v>
      </c>
    </row>
    <row r="19" spans="2:4" ht="18" customHeight="1" x14ac:dyDescent="0.45">
      <c r="B19" s="78" t="s">
        <v>86</v>
      </c>
      <c r="C19" s="79">
        <v>0.05</v>
      </c>
      <c r="D19" s="80" t="s">
        <v>163</v>
      </c>
    </row>
  </sheetData>
  <mergeCells count="4">
    <mergeCell ref="A1:D1"/>
    <mergeCell ref="B3:D3"/>
    <mergeCell ref="B10:D10"/>
    <mergeCell ref="B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J22"/>
  <sheetViews>
    <sheetView showGridLines="0" zoomScaleNormal="100" workbookViewId="0">
      <selection activeCell="K11" sqref="K11"/>
    </sheetView>
  </sheetViews>
  <sheetFormatPr defaultColWidth="8.6640625" defaultRowHeight="14.25" x14ac:dyDescent="0.45"/>
  <cols>
    <col min="1" max="1" width="1" customWidth="1"/>
    <col min="2" max="2" width="44.1328125" bestFit="1" customWidth="1"/>
    <col min="3" max="3" width="9.46484375" customWidth="1"/>
    <col min="4" max="9" width="13" customWidth="1"/>
  </cols>
  <sheetData>
    <row r="1" spans="1:10" ht="30" customHeight="1" x14ac:dyDescent="0.45">
      <c r="A1" s="4" t="s">
        <v>87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45">
      <c r="B2" s="11" t="s">
        <v>88</v>
      </c>
    </row>
    <row r="3" spans="1:10" ht="22.15" customHeight="1" x14ac:dyDescent="0.45">
      <c r="B3" s="12" t="s">
        <v>89</v>
      </c>
      <c r="C3" s="49">
        <v>2021</v>
      </c>
      <c r="D3" s="49">
        <v>2022</v>
      </c>
      <c r="E3" s="49">
        <v>2023</v>
      </c>
      <c r="F3" s="49">
        <v>2024</v>
      </c>
      <c r="G3" s="49">
        <v>2025</v>
      </c>
      <c r="H3" s="51" t="s">
        <v>133</v>
      </c>
      <c r="I3" s="51" t="s">
        <v>134</v>
      </c>
    </row>
    <row r="4" spans="1:10" ht="15.75" customHeight="1" x14ac:dyDescent="0.45">
      <c r="B4" s="14" t="s">
        <v>90</v>
      </c>
      <c r="C4" s="15">
        <v>469822</v>
      </c>
      <c r="D4" s="15">
        <v>513983</v>
      </c>
      <c r="E4" s="15">
        <v>574785</v>
      </c>
      <c r="F4" s="15">
        <v>637959</v>
      </c>
      <c r="G4" s="15">
        <v>716924</v>
      </c>
      <c r="H4" s="16">
        <f>G4*(1+Assumptions!C4)</f>
        <v>802954.88000000012</v>
      </c>
      <c r="I4" s="16">
        <f>H4*(1+Assumptions!C5)</f>
        <v>907339.0144000001</v>
      </c>
    </row>
    <row r="5" spans="1:10" ht="15.75" customHeight="1" x14ac:dyDescent="0.45">
      <c r="B5" s="8" t="s">
        <v>9</v>
      </c>
      <c r="C5" s="7">
        <v>272344</v>
      </c>
      <c r="D5" s="7">
        <v>288831</v>
      </c>
      <c r="E5" s="7">
        <v>304739</v>
      </c>
      <c r="F5" s="7">
        <v>326288</v>
      </c>
      <c r="G5" s="7">
        <v>356414</v>
      </c>
      <c r="H5" s="17">
        <f>H4*Assumptions!C6</f>
        <v>399068.57536000008</v>
      </c>
      <c r="I5" s="17">
        <f>I4*Assumptions!C6</f>
        <v>450947.49015680002</v>
      </c>
    </row>
    <row r="6" spans="1:10" ht="15.75" customHeight="1" x14ac:dyDescent="0.45">
      <c r="B6" s="14" t="s">
        <v>91</v>
      </c>
      <c r="C6" s="15">
        <v>197478</v>
      </c>
      <c r="D6" s="15">
        <v>225152</v>
      </c>
      <c r="E6" s="15">
        <v>270046</v>
      </c>
      <c r="F6" s="15">
        <v>311671</v>
      </c>
      <c r="G6" s="15">
        <v>360510</v>
      </c>
      <c r="H6" s="16">
        <f>H4-H5</f>
        <v>403886.30464000005</v>
      </c>
      <c r="I6" s="16">
        <f>I4-I5</f>
        <v>456391.52424320008</v>
      </c>
    </row>
    <row r="7" spans="1:10" ht="15.75" customHeight="1" x14ac:dyDescent="0.45">
      <c r="B7" s="18" t="s">
        <v>11</v>
      </c>
      <c r="C7" s="19">
        <v>0.42030000000000001</v>
      </c>
      <c r="D7" s="19">
        <v>0.43809999999999999</v>
      </c>
      <c r="E7" s="19">
        <v>0.4698</v>
      </c>
      <c r="F7" s="19">
        <v>0.48849999999999999</v>
      </c>
      <c r="G7" s="19">
        <v>0.50290000000000001</v>
      </c>
      <c r="H7" s="20">
        <f>H6/H4</f>
        <v>0.503</v>
      </c>
      <c r="I7" s="20">
        <f>I6/I4</f>
        <v>0.503</v>
      </c>
    </row>
    <row r="8" spans="1:10" ht="15.75" customHeight="1" x14ac:dyDescent="0.45">
      <c r="B8" s="21" t="s">
        <v>92</v>
      </c>
      <c r="C8" s="22">
        <v>172599</v>
      </c>
      <c r="D8" s="22">
        <v>211804</v>
      </c>
      <c r="E8" s="22">
        <v>233194</v>
      </c>
      <c r="F8" s="22">
        <v>243078</v>
      </c>
      <c r="G8" s="22">
        <v>280535</v>
      </c>
      <c r="H8" s="23">
        <f>H4*Assumptions!C7</f>
        <v>314758.31296000007</v>
      </c>
      <c r="I8" s="23">
        <f>I4*Assumptions!C7</f>
        <v>355676.89364480006</v>
      </c>
    </row>
    <row r="9" spans="1:10" ht="15.75" customHeight="1" x14ac:dyDescent="0.45">
      <c r="B9" s="24" t="s">
        <v>93</v>
      </c>
      <c r="C9" s="25">
        <v>24879</v>
      </c>
      <c r="D9" s="25">
        <v>13348</v>
      </c>
      <c r="E9" s="25">
        <v>36852</v>
      </c>
      <c r="F9" s="25">
        <v>68593</v>
      </c>
      <c r="G9" s="25">
        <v>79975</v>
      </c>
      <c r="H9" s="26">
        <f>H6-H8</f>
        <v>89127.991679999977</v>
      </c>
      <c r="I9" s="26">
        <f>I6-I8</f>
        <v>100714.63059840002</v>
      </c>
    </row>
    <row r="10" spans="1:10" ht="15.75" customHeight="1" x14ac:dyDescent="0.45">
      <c r="B10" s="27" t="s">
        <v>17</v>
      </c>
      <c r="C10" s="28">
        <v>5.2999999999999999E-2</v>
      </c>
      <c r="D10" s="28">
        <v>2.5999999999999999E-2</v>
      </c>
      <c r="E10" s="28">
        <v>6.4100000000000004E-2</v>
      </c>
      <c r="F10" s="28">
        <v>0.1075</v>
      </c>
      <c r="G10" s="28">
        <v>0.1116</v>
      </c>
      <c r="H10" s="29">
        <f>H9/H4</f>
        <v>0.11099999999999996</v>
      </c>
      <c r="I10" s="29">
        <f>I9/I4</f>
        <v>0.11100000000000002</v>
      </c>
    </row>
    <row r="11" spans="1:10" ht="15.75" customHeight="1" x14ac:dyDescent="0.45">
      <c r="B11" s="8" t="s">
        <v>18</v>
      </c>
      <c r="C11" s="7">
        <v>1809</v>
      </c>
      <c r="D11" s="7">
        <v>2367</v>
      </c>
      <c r="E11" s="7">
        <v>3182</v>
      </c>
      <c r="F11" s="7">
        <v>2406</v>
      </c>
      <c r="G11" s="7">
        <v>2274</v>
      </c>
      <c r="H11" s="17">
        <f>BS!H14*Assumptions!C18</f>
        <v>2544.9732000000004</v>
      </c>
      <c r="I11" s="17">
        <f>BS!I14*Assumptions!C18</f>
        <v>2672.2218600000006</v>
      </c>
    </row>
    <row r="12" spans="1:10" ht="15.75" customHeight="1" x14ac:dyDescent="0.45">
      <c r="B12" s="21" t="s">
        <v>94</v>
      </c>
      <c r="C12" s="22">
        <v>23518</v>
      </c>
      <c r="D12" s="22">
        <v>11970</v>
      </c>
      <c r="E12" s="22">
        <v>36619</v>
      </c>
      <c r="F12" s="22">
        <v>70864</v>
      </c>
      <c r="G12" s="22">
        <v>82082</v>
      </c>
      <c r="H12" s="23">
        <f>H9-H11</f>
        <v>86583.01847999997</v>
      </c>
      <c r="I12" s="23">
        <f>I9-I11</f>
        <v>98042.408738400016</v>
      </c>
    </row>
    <row r="13" spans="1:10" ht="15.75" customHeight="1" x14ac:dyDescent="0.45">
      <c r="B13" s="8" t="s">
        <v>21</v>
      </c>
      <c r="C13" s="7">
        <v>4791</v>
      </c>
      <c r="D13" s="7">
        <v>-3217</v>
      </c>
      <c r="E13" s="7">
        <v>7120</v>
      </c>
      <c r="F13" s="7">
        <v>9265</v>
      </c>
      <c r="G13" s="7">
        <v>19087</v>
      </c>
      <c r="H13" s="17">
        <f>MAX(0,H12*Assumptions!C8)</f>
        <v>18182.433880799992</v>
      </c>
      <c r="I13" s="17">
        <f>MAX(0,I12*Assumptions!C8)</f>
        <v>20588.905835064004</v>
      </c>
    </row>
    <row r="14" spans="1:10" ht="15.75" customHeight="1" x14ac:dyDescent="0.45">
      <c r="B14" s="14" t="s">
        <v>95</v>
      </c>
      <c r="C14" s="15">
        <v>33364</v>
      </c>
      <c r="D14" s="15">
        <v>-2722</v>
      </c>
      <c r="E14" s="15">
        <v>30425</v>
      </c>
      <c r="F14" s="15">
        <v>59248</v>
      </c>
      <c r="G14" s="15">
        <v>77670</v>
      </c>
      <c r="H14" s="30">
        <f>H12-H13</f>
        <v>68400.584599199981</v>
      </c>
      <c r="I14" s="30">
        <f>I12-I13</f>
        <v>77453.502903336019</v>
      </c>
    </row>
    <row r="15" spans="1:10" ht="15.75" customHeight="1" x14ac:dyDescent="0.45">
      <c r="B15" s="18" t="s">
        <v>23</v>
      </c>
      <c r="C15" s="19">
        <v>7.0999999999999994E-2</v>
      </c>
      <c r="D15" s="19">
        <v>-5.3E-3</v>
      </c>
      <c r="E15" s="19">
        <v>5.2900000000000003E-2</v>
      </c>
      <c r="F15" s="19">
        <v>9.2899999999999996E-2</v>
      </c>
      <c r="G15" s="19">
        <v>0.10829999999999999</v>
      </c>
      <c r="H15" s="20">
        <f>H14/H4</f>
        <v>8.5186087416518314E-2</v>
      </c>
      <c r="I15" s="20">
        <f>I14/I4</f>
        <v>8.5363355564021484E-2</v>
      </c>
    </row>
    <row r="16" spans="1:10" ht="15.75" customHeight="1" x14ac:dyDescent="0.45"/>
    <row r="17" spans="2:9" ht="15.75" customHeight="1" x14ac:dyDescent="0.45">
      <c r="B17" s="31" t="s">
        <v>96</v>
      </c>
      <c r="C17" s="32">
        <v>59312</v>
      </c>
      <c r="D17" s="32">
        <v>55269</v>
      </c>
      <c r="E17" s="32">
        <v>85515</v>
      </c>
      <c r="F17" s="32">
        <v>121388</v>
      </c>
      <c r="G17" s="32">
        <v>145731</v>
      </c>
      <c r="H17" s="33">
        <f>H9+H19</f>
        <v>154703.68367999996</v>
      </c>
      <c r="I17" s="33">
        <f>I9+I19</f>
        <v>176787.46496320004</v>
      </c>
    </row>
    <row r="18" spans="2:9" ht="15.75" customHeight="1" x14ac:dyDescent="0.45">
      <c r="B18" s="27" t="s">
        <v>25</v>
      </c>
      <c r="C18" s="28">
        <v>0.12620000000000001</v>
      </c>
      <c r="D18" s="28">
        <v>0.1075</v>
      </c>
      <c r="E18" s="28">
        <v>0.14879999999999999</v>
      </c>
      <c r="F18" s="28">
        <v>0.1903</v>
      </c>
      <c r="G18" s="28">
        <v>0.20330000000000001</v>
      </c>
      <c r="H18" s="29">
        <f>H17/H4</f>
        <v>0.19266796620004345</v>
      </c>
      <c r="I18" s="29">
        <f>I17/I4</f>
        <v>0.19484168778976735</v>
      </c>
    </row>
    <row r="19" spans="2:9" ht="15.75" customHeight="1" x14ac:dyDescent="0.45">
      <c r="B19" s="34" t="s">
        <v>97</v>
      </c>
      <c r="C19" s="7">
        <v>34433</v>
      </c>
      <c r="D19" s="7">
        <v>41921</v>
      </c>
      <c r="E19" s="7">
        <v>48663</v>
      </c>
      <c r="F19" s="7">
        <v>52795</v>
      </c>
      <c r="G19" s="7">
        <v>65756</v>
      </c>
      <c r="H19" s="17">
        <f>CF!H6</f>
        <v>65575.691999999995</v>
      </c>
      <c r="I19" s="17">
        <f>CF!I6</f>
        <v>76072.834364800001</v>
      </c>
    </row>
    <row r="20" spans="2:9" ht="15.75" customHeight="1" x14ac:dyDescent="0.45"/>
    <row r="21" spans="2:9" ht="15.75" customHeight="1" x14ac:dyDescent="0.45">
      <c r="B21" s="35" t="s">
        <v>98</v>
      </c>
      <c r="C21" s="36">
        <v>10296</v>
      </c>
      <c r="D21" s="36">
        <v>10189</v>
      </c>
      <c r="E21" s="36">
        <v>10492</v>
      </c>
      <c r="F21" s="36">
        <v>10721</v>
      </c>
      <c r="G21" s="36">
        <v>10827</v>
      </c>
      <c r="H21" s="37">
        <f>G21*1.015</f>
        <v>10989.404999999999</v>
      </c>
      <c r="I21" s="37">
        <f>H21*1.015</f>
        <v>11154.246074999997</v>
      </c>
    </row>
    <row r="22" spans="2:9" ht="15.75" customHeight="1" x14ac:dyDescent="0.45">
      <c r="B22" s="38" t="s">
        <v>99</v>
      </c>
      <c r="C22" s="39">
        <v>3.24</v>
      </c>
      <c r="D22" s="39">
        <v>-0.27</v>
      </c>
      <c r="E22" s="39">
        <v>2.9</v>
      </c>
      <c r="F22" s="39">
        <v>5.53</v>
      </c>
      <c r="G22" s="39">
        <v>7.17</v>
      </c>
      <c r="H22" s="40">
        <f>H14/H21</f>
        <v>6.2242300287595178</v>
      </c>
      <c r="I22" s="40">
        <f>I14/I21</f>
        <v>6.9438581848156007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J23"/>
  <sheetViews>
    <sheetView showGridLines="0" zoomScaleNormal="100" workbookViewId="0">
      <selection activeCell="H3" sqref="H3:I3"/>
    </sheetView>
  </sheetViews>
  <sheetFormatPr defaultColWidth="8.6640625" defaultRowHeight="14.25" x14ac:dyDescent="0.45"/>
  <cols>
    <col min="1" max="1" width="1" customWidth="1"/>
    <col min="2" max="2" width="34" customWidth="1"/>
    <col min="3" max="9" width="13" customWidth="1"/>
  </cols>
  <sheetData>
    <row r="1" spans="1:10" ht="30" customHeight="1" x14ac:dyDescent="0.45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45">
      <c r="B2" s="11" t="s">
        <v>88</v>
      </c>
    </row>
    <row r="3" spans="1:10" ht="19.5" customHeight="1" x14ac:dyDescent="0.45">
      <c r="B3" s="6" t="s">
        <v>89</v>
      </c>
      <c r="C3" s="50">
        <v>2021</v>
      </c>
      <c r="D3" s="49">
        <v>2022</v>
      </c>
      <c r="E3" s="49">
        <v>2023</v>
      </c>
      <c r="F3" s="49">
        <v>2024</v>
      </c>
      <c r="G3" s="49">
        <v>2025</v>
      </c>
      <c r="H3" s="51" t="s">
        <v>133</v>
      </c>
      <c r="I3" s="51" t="s">
        <v>134</v>
      </c>
    </row>
    <row r="4" spans="1:10" ht="15.75" customHeight="1" x14ac:dyDescent="0.45">
      <c r="B4" s="3" t="s">
        <v>101</v>
      </c>
      <c r="C4" s="3"/>
      <c r="D4" s="3"/>
      <c r="E4" s="3"/>
      <c r="F4" s="3"/>
      <c r="G4" s="3"/>
      <c r="H4" s="3"/>
      <c r="I4" s="3"/>
    </row>
    <row r="5" spans="1:10" ht="15.75" customHeight="1" x14ac:dyDescent="0.45">
      <c r="B5" s="24" t="s">
        <v>102</v>
      </c>
      <c r="C5" s="25">
        <v>36220</v>
      </c>
      <c r="D5" s="25">
        <v>53888</v>
      </c>
      <c r="E5" s="25">
        <v>73387</v>
      </c>
      <c r="F5" s="25">
        <v>78779</v>
      </c>
      <c r="G5" s="25">
        <v>86810</v>
      </c>
      <c r="H5" s="26">
        <f>G5+CF!H18</f>
        <v>86953.580520295844</v>
      </c>
      <c r="I5" s="26">
        <f>H5+CF!I18</f>
        <v>89175.015698174306</v>
      </c>
    </row>
    <row r="6" spans="1:10" ht="15.75" customHeight="1" x14ac:dyDescent="0.45">
      <c r="B6" s="21" t="s">
        <v>31</v>
      </c>
      <c r="C6" s="22">
        <v>25500</v>
      </c>
      <c r="D6" s="22">
        <v>36202</v>
      </c>
      <c r="E6" s="22">
        <v>42600</v>
      </c>
      <c r="F6" s="22">
        <v>45900</v>
      </c>
      <c r="G6" s="22">
        <v>56300</v>
      </c>
      <c r="H6" s="23">
        <f>IS!H4*Assumptions!C11/365</f>
        <v>61596.538739726042</v>
      </c>
      <c r="I6" s="23">
        <f>IS!I4*Assumptions!C11/365</f>
        <v>69604.088775890428</v>
      </c>
    </row>
    <row r="7" spans="1:10" ht="15.75" customHeight="1" x14ac:dyDescent="0.45">
      <c r="B7" s="8" t="s">
        <v>32</v>
      </c>
      <c r="C7" s="7">
        <v>32640</v>
      </c>
      <c r="D7" s="7">
        <v>34405</v>
      </c>
      <c r="E7" s="7">
        <v>33318</v>
      </c>
      <c r="F7" s="7">
        <v>34214</v>
      </c>
      <c r="G7" s="7">
        <v>38325</v>
      </c>
      <c r="H7" s="17">
        <f>IS!H4*Assumptions!C12</f>
        <v>43359.563520000003</v>
      </c>
      <c r="I7" s="17">
        <f>IS!I4*Assumptions!C12</f>
        <v>48996.306777600003</v>
      </c>
    </row>
    <row r="8" spans="1:10" ht="15.75" customHeight="1" x14ac:dyDescent="0.45">
      <c r="B8" s="21" t="s">
        <v>34</v>
      </c>
      <c r="C8" s="22">
        <v>216363</v>
      </c>
      <c r="D8" s="22">
        <v>252838</v>
      </c>
      <c r="E8" s="22">
        <v>276690</v>
      </c>
      <c r="F8" s="22">
        <v>328806</v>
      </c>
      <c r="G8" s="22">
        <v>443079</v>
      </c>
      <c r="H8" s="23">
        <f>G8+(-CF!H10)-CF!H6</f>
        <v>514005.63760000007</v>
      </c>
      <c r="I8" s="23">
        <f>H8+(-CF!I10)-CF!I6</f>
        <v>592180.43568320014</v>
      </c>
    </row>
    <row r="9" spans="1:10" ht="15.75" customHeight="1" x14ac:dyDescent="0.45">
      <c r="B9" s="8" t="s">
        <v>103</v>
      </c>
      <c r="C9" s="7">
        <v>109966</v>
      </c>
      <c r="D9" s="7">
        <v>119342</v>
      </c>
      <c r="E9" s="7">
        <v>133859</v>
      </c>
      <c r="F9" s="7">
        <v>167195</v>
      </c>
      <c r="G9" s="7">
        <v>213528</v>
      </c>
      <c r="H9" s="41">
        <f>H16+H20-H5-H6-H7-H8</f>
        <v>229434.8</v>
      </c>
      <c r="I9" s="41">
        <f>I16+I20-I5-I6-I7-I8</f>
        <v>260450.26000000024</v>
      </c>
    </row>
    <row r="10" spans="1:10" ht="15.75" customHeight="1" x14ac:dyDescent="0.45">
      <c r="B10" s="14" t="s">
        <v>104</v>
      </c>
      <c r="C10" s="15">
        <v>420549</v>
      </c>
      <c r="D10" s="15">
        <v>462675</v>
      </c>
      <c r="E10" s="15">
        <v>527854</v>
      </c>
      <c r="F10" s="15">
        <v>624894</v>
      </c>
      <c r="G10" s="15">
        <v>818042</v>
      </c>
      <c r="H10" s="16">
        <f>H5+H6+H7+H8+H9</f>
        <v>935350.12038002186</v>
      </c>
      <c r="I10" s="16">
        <f>I5+I6+I7+I8+I9</f>
        <v>1060406.106934865</v>
      </c>
    </row>
    <row r="11" spans="1:10" ht="15.75" customHeight="1" x14ac:dyDescent="0.45">
      <c r="B11" s="3" t="s">
        <v>105</v>
      </c>
      <c r="C11" s="3"/>
      <c r="D11" s="3"/>
      <c r="E11" s="3"/>
      <c r="F11" s="3"/>
      <c r="G11" s="3"/>
      <c r="H11" s="3"/>
      <c r="I11" s="3"/>
    </row>
    <row r="12" spans="1:10" ht="15.75" customHeight="1" x14ac:dyDescent="0.45">
      <c r="B12" s="21" t="s">
        <v>39</v>
      </c>
      <c r="C12" s="22">
        <v>78664</v>
      </c>
      <c r="D12" s="22">
        <v>79600</v>
      </c>
      <c r="E12" s="22">
        <v>84981</v>
      </c>
      <c r="F12" s="22">
        <v>94363</v>
      </c>
      <c r="G12" s="22">
        <v>121909</v>
      </c>
      <c r="H12" s="23">
        <f>IS!H4*Assumptions!C13/365</f>
        <v>136392.33578082194</v>
      </c>
      <c r="I12" s="23">
        <f>IS!I4*Assumptions!C13/365</f>
        <v>154123.33943232876</v>
      </c>
    </row>
    <row r="13" spans="1:10" ht="15.75" customHeight="1" x14ac:dyDescent="0.45">
      <c r="B13" s="8" t="s">
        <v>40</v>
      </c>
      <c r="C13" s="7">
        <v>1043</v>
      </c>
      <c r="D13" s="7">
        <v>8000</v>
      </c>
      <c r="E13" s="7">
        <v>147</v>
      </c>
      <c r="F13" s="7">
        <v>151</v>
      </c>
      <c r="G13" s="7">
        <v>455</v>
      </c>
      <c r="H13" s="41" t="s">
        <v>106</v>
      </c>
      <c r="I13" s="41" t="s">
        <v>106</v>
      </c>
    </row>
    <row r="14" spans="1:10" ht="15.75" customHeight="1" x14ac:dyDescent="0.45">
      <c r="B14" s="21" t="s">
        <v>43</v>
      </c>
      <c r="C14" s="22">
        <v>54944</v>
      </c>
      <c r="D14" s="22">
        <v>73850</v>
      </c>
      <c r="E14" s="22">
        <v>64914</v>
      </c>
      <c r="F14" s="22">
        <v>59723</v>
      </c>
      <c r="G14" s="22">
        <v>73448</v>
      </c>
      <c r="H14" s="23">
        <f>G14*(1+Assumptions!C19)</f>
        <v>77120.400000000009</v>
      </c>
      <c r="I14" s="23">
        <f>H14*(1+Assumptions!C19)</f>
        <v>80976.420000000013</v>
      </c>
    </row>
    <row r="15" spans="1:10" ht="15.75" customHeight="1" x14ac:dyDescent="0.45">
      <c r="B15" s="8" t="s">
        <v>107</v>
      </c>
      <c r="C15" s="7">
        <v>147653</v>
      </c>
      <c r="D15" s="7">
        <v>155182</v>
      </c>
      <c r="E15" s="7">
        <v>176937</v>
      </c>
      <c r="F15" s="7">
        <v>184687</v>
      </c>
      <c r="G15" s="7">
        <v>211165</v>
      </c>
      <c r="H15" s="41">
        <f>G15*1.08</f>
        <v>228058.2</v>
      </c>
      <c r="I15" s="41">
        <f>H15*1.06</f>
        <v>241741.69200000001</v>
      </c>
    </row>
    <row r="16" spans="1:10" ht="15.75" customHeight="1" x14ac:dyDescent="0.45">
      <c r="B16" s="14" t="s">
        <v>108</v>
      </c>
      <c r="C16" s="15">
        <v>282304</v>
      </c>
      <c r="D16" s="15">
        <v>316632</v>
      </c>
      <c r="E16" s="15">
        <v>325979</v>
      </c>
      <c r="F16" s="15">
        <v>338924</v>
      </c>
      <c r="G16" s="15">
        <v>406977</v>
      </c>
      <c r="H16" s="16">
        <f>H12+H13+H14+H15</f>
        <v>441870.93578082195</v>
      </c>
      <c r="I16" s="16">
        <f>I12+I13+I14+I15</f>
        <v>477141.45143232879</v>
      </c>
    </row>
    <row r="17" spans="2:9" ht="15.75" customHeight="1" x14ac:dyDescent="0.45">
      <c r="B17" s="8" t="s">
        <v>46</v>
      </c>
      <c r="C17" s="7">
        <v>85915</v>
      </c>
      <c r="D17" s="7">
        <v>83193</v>
      </c>
      <c r="E17" s="7">
        <v>113618</v>
      </c>
      <c r="F17" s="7">
        <v>172866</v>
      </c>
      <c r="G17" s="7">
        <v>250536</v>
      </c>
      <c r="H17" s="42">
        <f>G17+IS!H14</f>
        <v>318936.5845992</v>
      </c>
      <c r="I17" s="42">
        <f>H17+IS!I14</f>
        <v>396390.08750253601</v>
      </c>
    </row>
    <row r="18" spans="2:9" ht="15.75" customHeight="1" x14ac:dyDescent="0.45">
      <c r="B18" s="21" t="s">
        <v>109</v>
      </c>
      <c r="C18" s="22">
        <v>55543</v>
      </c>
      <c r="D18" s="22">
        <v>75174</v>
      </c>
      <c r="E18" s="22">
        <v>99134</v>
      </c>
      <c r="F18" s="22">
        <v>120975</v>
      </c>
      <c r="G18" s="22">
        <v>140136</v>
      </c>
      <c r="H18" s="43">
        <f>G18*1.1</f>
        <v>154149.6</v>
      </c>
      <c r="I18" s="43">
        <f>H18*1.08</f>
        <v>166481.56800000003</v>
      </c>
    </row>
    <row r="19" spans="2:9" ht="15.75" customHeight="1" x14ac:dyDescent="0.45">
      <c r="B19" s="8" t="s">
        <v>110</v>
      </c>
      <c r="C19" s="7">
        <v>-3213</v>
      </c>
      <c r="D19" s="7">
        <v>-12324</v>
      </c>
      <c r="E19" s="7">
        <v>-10877</v>
      </c>
      <c r="F19" s="7">
        <v>-7871</v>
      </c>
      <c r="G19" s="7">
        <v>20393</v>
      </c>
      <c r="H19" s="41">
        <f>G19</f>
        <v>20393</v>
      </c>
      <c r="I19" s="41">
        <f>H19</f>
        <v>20393</v>
      </c>
    </row>
    <row r="20" spans="2:9" ht="15.75" customHeight="1" x14ac:dyDescent="0.45">
      <c r="B20" s="14" t="s">
        <v>111</v>
      </c>
      <c r="C20" s="15">
        <v>138245</v>
      </c>
      <c r="D20" s="15">
        <v>146043</v>
      </c>
      <c r="E20" s="15">
        <v>201875</v>
      </c>
      <c r="F20" s="15">
        <v>285970</v>
      </c>
      <c r="G20" s="15">
        <v>411065</v>
      </c>
      <c r="H20" s="16">
        <f>H17+H18+H19</f>
        <v>493479.18459920003</v>
      </c>
      <c r="I20" s="16">
        <f>I17+I18+I19</f>
        <v>583264.6555025361</v>
      </c>
    </row>
    <row r="21" spans="2:9" ht="15.75" customHeight="1" x14ac:dyDescent="0.45">
      <c r="B21" s="24" t="s">
        <v>112</v>
      </c>
      <c r="C21" s="25">
        <v>420549</v>
      </c>
      <c r="D21" s="25">
        <v>462675</v>
      </c>
      <c r="E21" s="25">
        <v>527854</v>
      </c>
      <c r="F21" s="25">
        <v>624894</v>
      </c>
      <c r="G21" s="25">
        <v>818042</v>
      </c>
      <c r="H21" s="26">
        <f>H16+H20</f>
        <v>935350.12038002198</v>
      </c>
      <c r="I21" s="26">
        <f>I16+I20</f>
        <v>1060406.106934865</v>
      </c>
    </row>
    <row r="22" spans="2:9" ht="15.75" customHeight="1" x14ac:dyDescent="0.45">
      <c r="B22" s="21"/>
    </row>
    <row r="23" spans="2:9" ht="15.75" customHeight="1" x14ac:dyDescent="0.45">
      <c r="B23" s="31" t="s">
        <v>113</v>
      </c>
      <c r="H23" s="44" t="str">
        <f>IF(ROUND(H10,0)=ROUND(H21,0),"✔ BALANCED","✘ CHECK")</f>
        <v>✔ BALANCED</v>
      </c>
      <c r="I23" s="44" t="str">
        <f>IF(ROUND(I10,0)=ROUND(I21,0),"✔ BALANCED","✘ CHECK")</f>
        <v>✔ BALANCED</v>
      </c>
    </row>
  </sheetData>
  <mergeCells count="3">
    <mergeCell ref="A1:J1"/>
    <mergeCell ref="B4:I4"/>
    <mergeCell ref="B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J23"/>
  <sheetViews>
    <sheetView showGridLines="0" tabSelected="1" zoomScaleNormal="100" workbookViewId="0">
      <selection activeCell="K19" sqref="K19"/>
    </sheetView>
  </sheetViews>
  <sheetFormatPr defaultColWidth="8.6640625" defaultRowHeight="14.25" x14ac:dyDescent="0.45"/>
  <cols>
    <col min="1" max="1" width="1" customWidth="1"/>
    <col min="2" max="2" width="34" customWidth="1"/>
    <col min="3" max="9" width="13" customWidth="1"/>
  </cols>
  <sheetData>
    <row r="1" spans="1:10" ht="30" customHeight="1" x14ac:dyDescent="0.45">
      <c r="A1" s="4" t="s">
        <v>114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45">
      <c r="B2" s="11" t="s">
        <v>88</v>
      </c>
    </row>
    <row r="3" spans="1:10" ht="19.5" customHeight="1" x14ac:dyDescent="0.45">
      <c r="B3" s="6" t="s">
        <v>89</v>
      </c>
      <c r="C3" s="49">
        <v>2021</v>
      </c>
      <c r="D3" s="49">
        <v>2022</v>
      </c>
      <c r="E3" s="49">
        <v>2023</v>
      </c>
      <c r="F3" s="49">
        <v>2024</v>
      </c>
      <c r="G3" s="49">
        <v>2025</v>
      </c>
      <c r="H3" s="51" t="s">
        <v>133</v>
      </c>
      <c r="I3" s="51" t="s">
        <v>134</v>
      </c>
    </row>
    <row r="4" spans="1:10" ht="15.75" customHeight="1" x14ac:dyDescent="0.45">
      <c r="B4" s="3" t="s">
        <v>115</v>
      </c>
      <c r="C4" s="3"/>
      <c r="D4" s="3"/>
      <c r="E4" s="3"/>
      <c r="F4" s="3"/>
      <c r="G4" s="3"/>
      <c r="H4" s="3"/>
      <c r="I4" s="3"/>
    </row>
    <row r="5" spans="1:10" ht="15.75" customHeight="1" x14ac:dyDescent="0.45">
      <c r="B5" s="8" t="s">
        <v>22</v>
      </c>
      <c r="C5" s="7">
        <v>33364</v>
      </c>
      <c r="D5" s="7">
        <v>-2722</v>
      </c>
      <c r="E5" s="7">
        <v>30425</v>
      </c>
      <c r="F5" s="7">
        <v>59248</v>
      </c>
      <c r="G5" s="7">
        <v>77670</v>
      </c>
      <c r="H5" s="42">
        <f>IS!H14</f>
        <v>68400.584599199981</v>
      </c>
      <c r="I5" s="42">
        <f>IS!I14</f>
        <v>77453.502903336019</v>
      </c>
    </row>
    <row r="6" spans="1:10" ht="15.75" customHeight="1" x14ac:dyDescent="0.45">
      <c r="B6" s="21" t="s">
        <v>116</v>
      </c>
      <c r="C6" s="22">
        <v>34433</v>
      </c>
      <c r="D6" s="22">
        <v>41921</v>
      </c>
      <c r="E6" s="22">
        <v>48663</v>
      </c>
      <c r="F6" s="22">
        <v>52795</v>
      </c>
      <c r="G6" s="22">
        <v>65756</v>
      </c>
      <c r="H6" s="23">
        <f>Assumptions!C15*BS!G8</f>
        <v>65575.691999999995</v>
      </c>
      <c r="I6" s="23">
        <f>Assumptions!C15*BS!H8</f>
        <v>76072.834364800001</v>
      </c>
    </row>
    <row r="7" spans="1:10" ht="15.75" customHeight="1" x14ac:dyDescent="0.45">
      <c r="B7" s="8" t="s">
        <v>52</v>
      </c>
      <c r="C7" s="7">
        <v>-19611</v>
      </c>
      <c r="D7" s="7">
        <v>-20886</v>
      </c>
      <c r="E7" s="7">
        <v>-11541</v>
      </c>
      <c r="F7" s="7">
        <v>-15541</v>
      </c>
      <c r="G7" s="7">
        <v>-19969</v>
      </c>
      <c r="H7" s="17">
        <f>-((BS!H6-BS!G6)+(BS!H7-BS!G7)-(BS!H12-BS!G12))</f>
        <v>4152.2335210958991</v>
      </c>
      <c r="I7" s="17">
        <f>-((BS!I6-BS!H6)+(BS!I7-BS!H7)-(BS!I12-BS!H12))</f>
        <v>4086.710357742435</v>
      </c>
    </row>
    <row r="8" spans="1:10" ht="15.75" customHeight="1" x14ac:dyDescent="0.45">
      <c r="B8" s="14" t="s">
        <v>117</v>
      </c>
      <c r="C8" s="15">
        <v>46327</v>
      </c>
      <c r="D8" s="15">
        <v>46752</v>
      </c>
      <c r="E8" s="15">
        <v>84946</v>
      </c>
      <c r="F8" s="15">
        <v>115877</v>
      </c>
      <c r="G8" s="15">
        <v>139514</v>
      </c>
      <c r="H8" s="16">
        <f>H5+H6+H7</f>
        <v>138128.51012029586</v>
      </c>
      <c r="I8" s="16">
        <f>I5+I6+I7</f>
        <v>157613.04762587848</v>
      </c>
    </row>
    <row r="9" spans="1:10" ht="15.75" customHeight="1" x14ac:dyDescent="0.45">
      <c r="B9" s="3" t="s">
        <v>118</v>
      </c>
      <c r="C9" s="3"/>
      <c r="D9" s="3"/>
      <c r="E9" s="3"/>
      <c r="F9" s="3"/>
      <c r="G9" s="3"/>
      <c r="H9" s="3"/>
      <c r="I9" s="3"/>
    </row>
    <row r="10" spans="1:10" ht="15.75" customHeight="1" x14ac:dyDescent="0.45">
      <c r="B10" s="21" t="s">
        <v>119</v>
      </c>
      <c r="C10" s="22">
        <v>-61053</v>
      </c>
      <c r="D10" s="22">
        <v>-63645</v>
      </c>
      <c r="E10" s="22">
        <v>-52729</v>
      </c>
      <c r="F10" s="22">
        <v>-82999</v>
      </c>
      <c r="G10" s="22">
        <v>-131819</v>
      </c>
      <c r="H10" s="23">
        <f>-Assumptions!C14*IS!H4</f>
        <v>-136502.32960000003</v>
      </c>
      <c r="I10" s="23">
        <f>-Assumptions!C14*IS!I4</f>
        <v>-154247.63244800002</v>
      </c>
    </row>
    <row r="11" spans="1:10" ht="15.75" customHeight="1" x14ac:dyDescent="0.45">
      <c r="B11" s="8" t="s">
        <v>120</v>
      </c>
      <c r="C11" s="7">
        <v>2899</v>
      </c>
      <c r="D11" s="7">
        <v>26044</v>
      </c>
      <c r="E11" s="7">
        <v>2896</v>
      </c>
      <c r="F11" s="7">
        <v>-11343</v>
      </c>
      <c r="G11" s="7">
        <v>-10726</v>
      </c>
      <c r="H11" s="83">
        <v>-5000</v>
      </c>
      <c r="I11" s="83">
        <v>-5000</v>
      </c>
    </row>
    <row r="12" spans="1:10" ht="15.75" customHeight="1" x14ac:dyDescent="0.45">
      <c r="B12" s="14" t="s">
        <v>121</v>
      </c>
      <c r="C12" s="15">
        <v>-58154</v>
      </c>
      <c r="D12" s="15">
        <v>-37601</v>
      </c>
      <c r="E12" s="15">
        <v>-49833</v>
      </c>
      <c r="F12" s="15">
        <v>-94342</v>
      </c>
      <c r="G12" s="15">
        <v>-142545</v>
      </c>
      <c r="H12" s="16">
        <f>H10+H11</f>
        <v>-141502.32960000003</v>
      </c>
      <c r="I12" s="16">
        <f>I10+I11</f>
        <v>-159247.63244800002</v>
      </c>
    </row>
    <row r="13" spans="1:10" ht="15.75" customHeight="1" x14ac:dyDescent="0.45">
      <c r="B13" s="3" t="s">
        <v>122</v>
      </c>
      <c r="C13" s="3"/>
      <c r="D13" s="3"/>
      <c r="E13" s="3"/>
      <c r="F13" s="3"/>
      <c r="G13" s="3"/>
      <c r="H13" s="3"/>
      <c r="I13" s="3"/>
    </row>
    <row r="14" spans="1:10" ht="15.75" customHeight="1" x14ac:dyDescent="0.45">
      <c r="B14" s="21" t="s">
        <v>123</v>
      </c>
      <c r="C14" s="22">
        <v>6259</v>
      </c>
      <c r="D14" s="22">
        <v>15718</v>
      </c>
      <c r="E14" s="22">
        <v>-16879</v>
      </c>
      <c r="F14" s="22">
        <v>-11811</v>
      </c>
      <c r="G14" s="22">
        <v>9661</v>
      </c>
      <c r="H14" s="45">
        <f>(BS!H14-BS!G14)+(BS!H13-BS!G13)</f>
        <v>3517.4000000000087</v>
      </c>
      <c r="I14" s="45">
        <f>(BS!I14-BS!H14)+(BS!I13-BS!H13)</f>
        <v>3856.0200000000041</v>
      </c>
    </row>
    <row r="15" spans="1:10" ht="15.75" customHeight="1" x14ac:dyDescent="0.45">
      <c r="B15" s="8" t="s">
        <v>124</v>
      </c>
      <c r="C15" s="7">
        <v>32</v>
      </c>
      <c r="D15" s="7">
        <v>-6000</v>
      </c>
      <c r="E15" s="7">
        <v>1000</v>
      </c>
      <c r="F15" s="7">
        <v>-1</v>
      </c>
      <c r="G15" s="7">
        <v>0</v>
      </c>
      <c r="H15" s="83">
        <v>0</v>
      </c>
      <c r="I15" s="83">
        <v>0</v>
      </c>
    </row>
    <row r="16" spans="1:10" ht="15.75" customHeight="1" x14ac:dyDescent="0.45">
      <c r="B16" s="14" t="s">
        <v>125</v>
      </c>
      <c r="C16" s="15">
        <v>6291</v>
      </c>
      <c r="D16" s="15">
        <v>9718</v>
      </c>
      <c r="E16" s="15">
        <v>-15879</v>
      </c>
      <c r="F16" s="15">
        <v>-11812</v>
      </c>
      <c r="G16" s="15">
        <v>9661</v>
      </c>
      <c r="H16" s="16">
        <f>H14+H15</f>
        <v>3517.4000000000087</v>
      </c>
      <c r="I16" s="16">
        <f>I14+I15</f>
        <v>3856.0200000000041</v>
      </c>
    </row>
    <row r="17" spans="2:9" ht="15.75" customHeight="1" x14ac:dyDescent="0.45">
      <c r="B17" s="3" t="s">
        <v>126</v>
      </c>
      <c r="C17" s="3"/>
      <c r="D17" s="3"/>
      <c r="E17" s="3"/>
      <c r="F17" s="3"/>
      <c r="G17" s="3"/>
      <c r="H17" s="3"/>
      <c r="I17" s="3"/>
    </row>
    <row r="18" spans="2:9" ht="15.75" customHeight="1" x14ac:dyDescent="0.45">
      <c r="B18" s="21" t="s">
        <v>59</v>
      </c>
      <c r="C18" s="22">
        <v>-5900</v>
      </c>
      <c r="D18" s="22">
        <v>17776</v>
      </c>
      <c r="E18" s="22">
        <v>19637</v>
      </c>
      <c r="F18" s="22">
        <v>8422</v>
      </c>
      <c r="G18" s="22">
        <v>7794</v>
      </c>
      <c r="H18" s="23">
        <f>H8+H12+H16</f>
        <v>143.5805202958436</v>
      </c>
      <c r="I18" s="23">
        <f>I8+I12+I16</f>
        <v>2221.4351778784621</v>
      </c>
    </row>
    <row r="19" spans="2:9" ht="15.75" customHeight="1" x14ac:dyDescent="0.45">
      <c r="B19" s="8" t="s">
        <v>127</v>
      </c>
      <c r="C19" s="7">
        <v>42120</v>
      </c>
      <c r="D19" s="7">
        <v>36220</v>
      </c>
      <c r="E19" s="7">
        <v>53888</v>
      </c>
      <c r="F19" s="7">
        <v>73387</v>
      </c>
      <c r="G19" s="7">
        <v>78779</v>
      </c>
      <c r="H19" s="42">
        <f>BS!G5</f>
        <v>86810</v>
      </c>
      <c r="I19" s="42">
        <f>BS!H5</f>
        <v>86953.580520295844</v>
      </c>
    </row>
    <row r="20" spans="2:9" ht="15.75" customHeight="1" x14ac:dyDescent="0.45">
      <c r="B20" s="14" t="s">
        <v>128</v>
      </c>
      <c r="C20" s="15">
        <v>36220</v>
      </c>
      <c r="D20" s="15">
        <v>53888</v>
      </c>
      <c r="E20" s="15">
        <v>73387</v>
      </c>
      <c r="F20" s="15">
        <v>78779</v>
      </c>
      <c r="G20" s="15">
        <v>86810</v>
      </c>
      <c r="H20" s="16">
        <f>H18+H19</f>
        <v>86953.580520295844</v>
      </c>
      <c r="I20" s="16">
        <f>I18+I19</f>
        <v>89175.015698174306</v>
      </c>
    </row>
    <row r="21" spans="2:9" ht="15.75" customHeight="1" x14ac:dyDescent="0.45">
      <c r="B21" s="8"/>
    </row>
    <row r="22" spans="2:9" ht="15.75" customHeight="1" x14ac:dyDescent="0.45">
      <c r="B22" s="14" t="s">
        <v>129</v>
      </c>
      <c r="C22" s="15">
        <v>-14726</v>
      </c>
      <c r="D22" s="15">
        <v>-16893</v>
      </c>
      <c r="E22" s="15">
        <v>32217</v>
      </c>
      <c r="F22" s="15">
        <v>32878</v>
      </c>
      <c r="G22" s="15">
        <v>7695</v>
      </c>
      <c r="H22" s="16">
        <f>H8+H10</f>
        <v>1626.1805202958349</v>
      </c>
      <c r="I22" s="16">
        <f>I8+I10</f>
        <v>3365.4151778784581</v>
      </c>
    </row>
    <row r="23" spans="2:9" ht="15.75" customHeight="1" x14ac:dyDescent="0.45">
      <c r="B23" s="8" t="s">
        <v>130</v>
      </c>
      <c r="H23" s="20">
        <f>H22/IS!H4</f>
        <v>2.0252452046817808E-3</v>
      </c>
      <c r="I23" s="20">
        <f>I22/IS!I4</f>
        <v>3.7091044521037381E-3</v>
      </c>
    </row>
  </sheetData>
  <mergeCells count="5">
    <mergeCell ref="B17:I17"/>
    <mergeCell ref="A1:J1"/>
    <mergeCell ref="B4:I4"/>
    <mergeCell ref="B9:I9"/>
    <mergeCell ref="B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J29"/>
  <sheetViews>
    <sheetView showGridLines="0" topLeftCell="A4" zoomScaleNormal="100" workbookViewId="0">
      <selection activeCell="L16" sqref="L16"/>
    </sheetView>
  </sheetViews>
  <sheetFormatPr defaultColWidth="8.6640625" defaultRowHeight="14.25" x14ac:dyDescent="0.45"/>
  <cols>
    <col min="1" max="1" width="1" customWidth="1"/>
    <col min="2" max="2" width="30" customWidth="1"/>
    <col min="3" max="10" width="13" customWidth="1"/>
  </cols>
  <sheetData>
    <row r="1" spans="1:10" ht="34.5" customHeight="1" x14ac:dyDescent="0.45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45">
      <c r="B2" s="10" t="s">
        <v>150</v>
      </c>
    </row>
    <row r="3" spans="1:10" ht="19.5" customHeight="1" x14ac:dyDescent="0.45">
      <c r="B3" s="46" t="s">
        <v>132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51" t="s">
        <v>133</v>
      </c>
      <c r="I3" s="51" t="s">
        <v>134</v>
      </c>
    </row>
    <row r="4" spans="1:10" ht="16.5" customHeight="1" x14ac:dyDescent="0.45">
      <c r="B4" s="1" t="s">
        <v>135</v>
      </c>
      <c r="C4" s="1"/>
      <c r="D4" s="1"/>
      <c r="E4" s="1"/>
      <c r="F4" s="1"/>
      <c r="G4" s="1"/>
      <c r="H4" s="1"/>
      <c r="I4" s="1"/>
    </row>
    <row r="5" spans="1:10" ht="16.5" customHeight="1" x14ac:dyDescent="0.45">
      <c r="B5" s="31" t="s">
        <v>136</v>
      </c>
      <c r="C5" s="15">
        <v>469822</v>
      </c>
      <c r="D5" s="15">
        <v>513983</v>
      </c>
      <c r="E5" s="15">
        <v>574785</v>
      </c>
      <c r="F5" s="15">
        <v>637959</v>
      </c>
      <c r="G5" s="15">
        <v>716924</v>
      </c>
      <c r="H5" s="33">
        <f>IS!H4</f>
        <v>802954.88000000012</v>
      </c>
      <c r="I5" s="33">
        <f>IS!I4</f>
        <v>907339.0144000001</v>
      </c>
    </row>
    <row r="6" spans="1:10" ht="16.5" customHeight="1" x14ac:dyDescent="0.45">
      <c r="B6" s="21" t="s">
        <v>137</v>
      </c>
      <c r="C6" s="28">
        <v>0.217</v>
      </c>
      <c r="D6" s="28">
        <v>9.4E-2</v>
      </c>
      <c r="E6" s="28">
        <v>0.1183</v>
      </c>
      <c r="F6" s="28">
        <v>0.1099</v>
      </c>
      <c r="G6" s="28">
        <v>0.12379999999999999</v>
      </c>
      <c r="H6" s="29">
        <f>IS!H4/IS!G4-1</f>
        <v>0.12000000000000011</v>
      </c>
      <c r="I6" s="29">
        <f>IS!I4/IS!H4-1</f>
        <v>0.12999999999999989</v>
      </c>
    </row>
    <row r="7" spans="1:10" ht="16.5" customHeight="1" x14ac:dyDescent="0.45">
      <c r="B7" s="8" t="s">
        <v>91</v>
      </c>
      <c r="C7" s="7">
        <v>197478</v>
      </c>
      <c r="D7" s="7">
        <v>225152</v>
      </c>
      <c r="E7" s="7">
        <v>270046</v>
      </c>
      <c r="F7" s="7">
        <v>311671</v>
      </c>
      <c r="G7" s="7">
        <v>360510</v>
      </c>
      <c r="H7" s="17">
        <f>IS!H6</f>
        <v>403886.30464000005</v>
      </c>
      <c r="I7" s="17">
        <f>IS!I6</f>
        <v>456391.52424320008</v>
      </c>
    </row>
    <row r="8" spans="1:10" ht="16.5" customHeight="1" x14ac:dyDescent="0.45">
      <c r="B8" s="21" t="s">
        <v>138</v>
      </c>
      <c r="C8" s="28">
        <v>0.42030000000000001</v>
      </c>
      <c r="D8" s="28">
        <v>0.43809999999999999</v>
      </c>
      <c r="E8" s="28">
        <v>0.4698</v>
      </c>
      <c r="F8" s="28">
        <v>0.48849999999999999</v>
      </c>
      <c r="G8" s="28">
        <v>0.50290000000000001</v>
      </c>
      <c r="H8" s="29">
        <f>IS!H6/IS!H4</f>
        <v>0.503</v>
      </c>
      <c r="I8" s="29">
        <f>IS!I6/IS!I4</f>
        <v>0.503</v>
      </c>
    </row>
    <row r="9" spans="1:10" ht="16.5" customHeight="1" x14ac:dyDescent="0.45">
      <c r="B9" s="8" t="s">
        <v>139</v>
      </c>
      <c r="C9" s="7">
        <v>24879</v>
      </c>
      <c r="D9" s="7">
        <v>13348</v>
      </c>
      <c r="E9" s="7">
        <v>36852</v>
      </c>
      <c r="F9" s="7">
        <v>68593</v>
      </c>
      <c r="G9" s="7">
        <v>79975</v>
      </c>
      <c r="H9" s="17">
        <f>IS!H9</f>
        <v>89127.991679999977</v>
      </c>
      <c r="I9" s="17">
        <f>IS!I9</f>
        <v>100714.63059840002</v>
      </c>
    </row>
    <row r="10" spans="1:10" ht="16.5" customHeight="1" x14ac:dyDescent="0.45">
      <c r="B10" s="21" t="s">
        <v>140</v>
      </c>
      <c r="C10" s="28">
        <v>5.2999999999999999E-2</v>
      </c>
      <c r="D10" s="28">
        <v>2.5999999999999999E-2</v>
      </c>
      <c r="E10" s="28">
        <v>6.4100000000000004E-2</v>
      </c>
      <c r="F10" s="28">
        <v>0.1075</v>
      </c>
      <c r="G10" s="28">
        <v>0.1116</v>
      </c>
      <c r="H10" s="29">
        <f>IS!H9/IS!H4</f>
        <v>0.11099999999999996</v>
      </c>
      <c r="I10" s="29">
        <f>IS!I9/IS!I4</f>
        <v>0.11100000000000002</v>
      </c>
    </row>
    <row r="11" spans="1:10" ht="16.5" customHeight="1" x14ac:dyDescent="0.45">
      <c r="B11" s="31" t="s">
        <v>96</v>
      </c>
      <c r="C11" s="32">
        <v>59312</v>
      </c>
      <c r="D11" s="32">
        <v>55269</v>
      </c>
      <c r="E11" s="32">
        <v>85515</v>
      </c>
      <c r="F11" s="32">
        <v>121388</v>
      </c>
      <c r="G11" s="32">
        <v>145731</v>
      </c>
      <c r="H11" s="33">
        <f>IS!H17</f>
        <v>154703.68367999996</v>
      </c>
      <c r="I11" s="33">
        <f>IS!I17</f>
        <v>176787.46496320004</v>
      </c>
    </row>
    <row r="12" spans="1:10" ht="16.5" customHeight="1" x14ac:dyDescent="0.45">
      <c r="B12" s="21" t="s">
        <v>141</v>
      </c>
      <c r="C12" s="28">
        <v>0.12620000000000001</v>
      </c>
      <c r="D12" s="28">
        <v>0.1075</v>
      </c>
      <c r="E12" s="28">
        <v>0.14879999999999999</v>
      </c>
      <c r="F12" s="28">
        <v>0.1903</v>
      </c>
      <c r="G12" s="28">
        <v>0.20330000000000001</v>
      </c>
      <c r="H12" s="29">
        <f>IS!H17/IS!H4</f>
        <v>0.19266796620004345</v>
      </c>
      <c r="I12" s="29">
        <f>IS!I17/IS!I4</f>
        <v>0.19484168778976735</v>
      </c>
    </row>
    <row r="13" spans="1:10" ht="16.5" customHeight="1" x14ac:dyDescent="0.45">
      <c r="B13" s="31" t="s">
        <v>95</v>
      </c>
      <c r="C13" s="32">
        <v>33364</v>
      </c>
      <c r="D13" s="32">
        <v>-2722</v>
      </c>
      <c r="E13" s="32">
        <v>30425</v>
      </c>
      <c r="F13" s="32">
        <v>59248</v>
      </c>
      <c r="G13" s="32">
        <v>77670</v>
      </c>
      <c r="H13" s="33">
        <f>IS!H14</f>
        <v>68400.584599199981</v>
      </c>
      <c r="I13" s="33">
        <f>IS!I14</f>
        <v>77453.502903336019</v>
      </c>
    </row>
    <row r="14" spans="1:10" ht="16.5" customHeight="1" x14ac:dyDescent="0.45">
      <c r="B14" s="21" t="s">
        <v>142</v>
      </c>
      <c r="C14" s="28">
        <v>7.0999999999999994E-2</v>
      </c>
      <c r="D14" s="28">
        <v>-5.3E-3</v>
      </c>
      <c r="E14" s="28">
        <v>5.2900000000000003E-2</v>
      </c>
      <c r="F14" s="28">
        <v>9.2899999999999996E-2</v>
      </c>
      <c r="G14" s="28">
        <v>0.10829999999999999</v>
      </c>
      <c r="H14" s="29">
        <f>IS!H14/IS!H4</f>
        <v>8.5186087416518314E-2</v>
      </c>
      <c r="I14" s="29">
        <f>IS!I14/IS!I4</f>
        <v>8.5363355564021484E-2</v>
      </c>
    </row>
    <row r="15" spans="1:10" ht="16.5" customHeight="1" x14ac:dyDescent="0.45">
      <c r="B15" s="8" t="s">
        <v>99</v>
      </c>
      <c r="C15" s="9">
        <v>3.24</v>
      </c>
      <c r="D15" s="9">
        <v>-0.27</v>
      </c>
      <c r="E15" s="9">
        <v>2.9</v>
      </c>
      <c r="F15" s="9">
        <v>5.53</v>
      </c>
      <c r="G15" s="9">
        <v>7.17</v>
      </c>
      <c r="H15" s="47">
        <f>IS!H22</f>
        <v>6.2242300287595178</v>
      </c>
      <c r="I15" s="47">
        <f>IS!I22</f>
        <v>6.9438581848156007</v>
      </c>
    </row>
    <row r="16" spans="1:10" ht="16.5" customHeight="1" x14ac:dyDescent="0.45">
      <c r="B16" s="1" t="s">
        <v>143</v>
      </c>
      <c r="C16" s="1"/>
      <c r="D16" s="1"/>
      <c r="E16" s="1"/>
      <c r="F16" s="1"/>
      <c r="G16" s="1"/>
      <c r="H16" s="1"/>
      <c r="I16" s="1"/>
    </row>
    <row r="17" spans="2:9" ht="16.5" customHeight="1" x14ac:dyDescent="0.45">
      <c r="B17" s="31" t="s">
        <v>117</v>
      </c>
      <c r="C17" s="32">
        <v>46327</v>
      </c>
      <c r="D17" s="32">
        <v>46752</v>
      </c>
      <c r="E17" s="32">
        <v>84946</v>
      </c>
      <c r="F17" s="32">
        <v>115877</v>
      </c>
      <c r="G17" s="32">
        <v>139514</v>
      </c>
      <c r="H17" s="33">
        <f>CF!H8</f>
        <v>138128.51012029586</v>
      </c>
      <c r="I17" s="33">
        <f>CF!I8</f>
        <v>157613.04762587848</v>
      </c>
    </row>
    <row r="18" spans="2:9" ht="16.5" customHeight="1" x14ac:dyDescent="0.45">
      <c r="B18" s="21" t="s">
        <v>144</v>
      </c>
      <c r="C18" s="22">
        <v>-61053</v>
      </c>
      <c r="D18" s="22">
        <v>-63645</v>
      </c>
      <c r="E18" s="22">
        <v>-52729</v>
      </c>
      <c r="F18" s="22">
        <v>-82999</v>
      </c>
      <c r="G18" s="22">
        <v>-131819</v>
      </c>
      <c r="H18" s="23">
        <f>CF!H9</f>
        <v>0</v>
      </c>
      <c r="I18" s="23">
        <f>CF!I9</f>
        <v>0</v>
      </c>
    </row>
    <row r="19" spans="2:9" ht="16.5" customHeight="1" x14ac:dyDescent="0.45">
      <c r="B19" s="31" t="s">
        <v>145</v>
      </c>
      <c r="C19" s="32">
        <v>-14726</v>
      </c>
      <c r="D19" s="32">
        <v>-16893</v>
      </c>
      <c r="E19" s="32">
        <v>32217</v>
      </c>
      <c r="F19" s="32">
        <v>32878</v>
      </c>
      <c r="G19" s="32">
        <v>7695</v>
      </c>
      <c r="H19" s="33">
        <f>CF!H20</f>
        <v>86953.580520295844</v>
      </c>
      <c r="I19" s="33">
        <f>CF!I20</f>
        <v>89175.015698174306</v>
      </c>
    </row>
    <row r="20" spans="2:9" ht="16.5" customHeight="1" x14ac:dyDescent="0.45">
      <c r="B20" s="21" t="s">
        <v>146</v>
      </c>
      <c r="C20" s="28">
        <v>-3.1E-2</v>
      </c>
      <c r="D20" s="28">
        <v>-3.3000000000000002E-2</v>
      </c>
      <c r="E20" s="28">
        <v>5.6000000000000001E-2</v>
      </c>
      <c r="F20" s="28">
        <v>5.1999999999999998E-2</v>
      </c>
      <c r="G20" s="28">
        <v>1.0999999999999999E-2</v>
      </c>
      <c r="H20" s="29">
        <f>CF!H20/IS!H4</f>
        <v>0.10829198836215533</v>
      </c>
      <c r="I20" s="29">
        <f>CF!I20/IS!I4</f>
        <v>9.8281914789196456E-2</v>
      </c>
    </row>
    <row r="21" spans="2:9" ht="16.5" customHeight="1" x14ac:dyDescent="0.45">
      <c r="B21" s="1" t="s">
        <v>147</v>
      </c>
      <c r="C21" s="1"/>
      <c r="D21" s="1"/>
      <c r="E21" s="1"/>
      <c r="F21" s="1"/>
      <c r="G21" s="1"/>
      <c r="H21" s="1"/>
      <c r="I21" s="1"/>
    </row>
    <row r="22" spans="2:9" ht="16.5" customHeight="1" x14ac:dyDescent="0.45">
      <c r="B22" s="21" t="s">
        <v>102</v>
      </c>
      <c r="C22" s="22">
        <v>36220</v>
      </c>
      <c r="D22" s="22">
        <v>53888</v>
      </c>
      <c r="E22" s="22">
        <v>73387</v>
      </c>
      <c r="F22" s="22">
        <v>78779</v>
      </c>
      <c r="G22" s="22">
        <v>86810</v>
      </c>
      <c r="H22" s="23">
        <f>BS!H4</f>
        <v>0</v>
      </c>
      <c r="I22" s="23">
        <f>BS!I4</f>
        <v>0</v>
      </c>
    </row>
    <row r="23" spans="2:9" ht="16.5" customHeight="1" x14ac:dyDescent="0.45">
      <c r="B23" s="31" t="s">
        <v>104</v>
      </c>
      <c r="C23" s="32">
        <v>420549</v>
      </c>
      <c r="D23" s="32">
        <v>462675</v>
      </c>
      <c r="E23" s="32">
        <v>527854</v>
      </c>
      <c r="F23" s="32">
        <v>624894</v>
      </c>
      <c r="G23" s="32">
        <v>818042</v>
      </c>
      <c r="H23" s="33">
        <f>BS!H10</f>
        <v>935350.12038002186</v>
      </c>
      <c r="I23" s="33">
        <f>BS!I10</f>
        <v>1060406.106934865</v>
      </c>
    </row>
    <row r="24" spans="2:9" ht="16.5" customHeight="1" x14ac:dyDescent="0.45">
      <c r="B24" s="21" t="s">
        <v>148</v>
      </c>
      <c r="C24" s="22">
        <v>54944</v>
      </c>
      <c r="D24" s="22">
        <v>73850</v>
      </c>
      <c r="E24" s="22">
        <v>64914</v>
      </c>
      <c r="F24" s="22">
        <v>59723</v>
      </c>
      <c r="G24" s="22">
        <v>73448</v>
      </c>
      <c r="H24" s="23" t="str">
        <f>BS!H13</f>
        <v>300</v>
      </c>
      <c r="I24" s="23" t="str">
        <f>BS!I13</f>
        <v>300</v>
      </c>
    </row>
    <row r="25" spans="2:9" ht="16.5" customHeight="1" x14ac:dyDescent="0.45">
      <c r="B25" s="31" t="s">
        <v>111</v>
      </c>
      <c r="C25" s="32">
        <v>138245</v>
      </c>
      <c r="D25" s="32">
        <v>146043</v>
      </c>
      <c r="E25" s="32">
        <v>201875</v>
      </c>
      <c r="F25" s="32">
        <v>285970</v>
      </c>
      <c r="G25" s="32">
        <v>411065</v>
      </c>
      <c r="H25" s="33">
        <f>BS!H19</f>
        <v>20393</v>
      </c>
      <c r="I25" s="33">
        <f>BS!I19</f>
        <v>20393</v>
      </c>
    </row>
    <row r="26" spans="2:9" ht="16.5" customHeight="1" x14ac:dyDescent="0.45">
      <c r="B26" s="21" t="s">
        <v>149</v>
      </c>
      <c r="C26" s="22">
        <v>137651</v>
      </c>
      <c r="D26" s="22">
        <v>99900</v>
      </c>
      <c r="E26" s="22">
        <v>88040</v>
      </c>
      <c r="F26" s="22">
        <v>76772</v>
      </c>
      <c r="G26" s="22">
        <v>91282</v>
      </c>
      <c r="H26" s="23">
        <f>BS!H13-BS!H4</f>
        <v>300</v>
      </c>
      <c r="I26" s="23">
        <f>BS!I13-BS!I4</f>
        <v>300</v>
      </c>
    </row>
    <row r="29" spans="2:9" ht="13.5" customHeight="1" x14ac:dyDescent="0.45">
      <c r="B29" s="52"/>
      <c r="D29" s="53"/>
      <c r="F29" s="54"/>
      <c r="H29" s="52"/>
    </row>
  </sheetData>
  <mergeCells count="4">
    <mergeCell ref="A1:J1"/>
    <mergeCell ref="B4:I4"/>
    <mergeCell ref="B16:I16"/>
    <mergeCell ref="B21:I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RD</vt:lpstr>
      <vt:lpstr>CD</vt:lpstr>
      <vt:lpstr>Assumptions</vt:lpstr>
      <vt:lpstr>IS</vt:lpstr>
      <vt:lpstr>BS</vt:lpstr>
      <vt:lpstr>CF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Kiruba Manimaran</cp:lastModifiedBy>
  <cp:revision>0</cp:revision>
  <dcterms:created xsi:type="dcterms:W3CDTF">2026-04-26T13:12:00Z</dcterms:created>
  <dcterms:modified xsi:type="dcterms:W3CDTF">2026-04-26T17:46:49Z</dcterms:modified>
  <dc:language>en-US</dc:language>
</cp:coreProperties>
</file>